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R" sheetId="1" state="visible" r:id="rId1"/>
    <sheet xmlns:r="http://schemas.openxmlformats.org/officeDocument/2006/relationships" name="LEVEL" sheetId="2" state="visible" r:id="rId2"/>
    <sheet xmlns:r="http://schemas.openxmlformats.org/officeDocument/2006/relationships" name="EXTRA" sheetId="3" state="visible" r:id="rId3"/>
    <sheet xmlns:r="http://schemas.openxmlformats.org/officeDocument/2006/relationships" name="ME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"/>
    <numFmt numFmtId="166" formatCode="0.000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A1" s="1" t="inlineStr">
        <is>
          <t>date</t>
        </is>
      </c>
      <c r="B1" s="1" t="inlineStr">
        <is>
          <t>ym</t>
        </is>
      </c>
      <c r="C1" s="1" t="inlineStr">
        <is>
          <t>lusip</t>
        </is>
      </c>
      <c r="D1" s="1" t="inlineStr">
        <is>
          <t>lchn</t>
        </is>
      </c>
      <c r="E1" s="1" t="inlineStr">
        <is>
          <t>loil</t>
        </is>
      </c>
      <c r="F1" s="1" t="inlineStr">
        <is>
          <t>us2y</t>
        </is>
      </c>
      <c r="G1" s="1" t="inlineStr">
        <is>
          <t>ebp</t>
        </is>
      </c>
      <c r="H1" s="1" t="inlineStr">
        <is>
          <t>lvix</t>
        </is>
      </c>
      <c r="I1" s="1" t="inlineStr">
        <is>
          <t>lusepu</t>
        </is>
      </c>
      <c r="J1" s="2" t="inlineStr">
        <is>
          <t>lip</t>
        </is>
      </c>
      <c r="K1" s="2" t="inlineStr">
        <is>
          <t>lcpi</t>
        </is>
      </c>
      <c r="L1" s="2" t="inlineStr">
        <is>
          <t>kr_call</t>
        </is>
      </c>
      <c r="M1" s="2" t="inlineStr">
        <is>
          <t>spread</t>
        </is>
      </c>
      <c r="N1" s="2" t="inlineStr">
        <is>
          <t>lfx</t>
        </is>
      </c>
      <c r="O1" s="2" t="inlineStr">
        <is>
          <t>lkrepu</t>
        </is>
      </c>
      <c r="P1" s="1" t="inlineStr">
        <is>
          <t>d2020m3</t>
        </is>
      </c>
      <c r="Q1" s="1" t="inlineStr">
        <is>
          <t>d2020m4</t>
        </is>
      </c>
      <c r="R1" s="1" t="inlineStr">
        <is>
          <t>d2020m5</t>
        </is>
      </c>
      <c r="S1" s="1" t="inlineStr">
        <is>
          <t>d2020m6</t>
        </is>
      </c>
    </row>
    <row r="2">
      <c r="A2" s="3" t="n">
        <v>36526</v>
      </c>
      <c r="B2" s="4" t="inlineStr">
        <is>
          <t>2000m1</t>
        </is>
      </c>
      <c r="C2" s="5">
        <f>100*LN(LEVEL!C2)</f>
        <v/>
      </c>
      <c r="D2" s="5">
        <f>100*LN(LEVEL!D2)</f>
        <v/>
      </c>
      <c r="E2" s="5">
        <f>100*LN(LEVEL!E2)</f>
        <v/>
      </c>
      <c r="F2" s="5">
        <f>LEVEL!F2</f>
        <v/>
      </c>
      <c r="G2" s="5">
        <f>LEVEL!G2</f>
        <v/>
      </c>
      <c r="H2" s="5">
        <f>100*LN(LEVEL!H2)</f>
        <v/>
      </c>
      <c r="I2" s="5">
        <f>100*LN(LEVEL!I2)</f>
        <v/>
      </c>
      <c r="J2" s="5">
        <f>100*LN(LEVEL!J2)</f>
        <v/>
      </c>
      <c r="K2" s="5">
        <f>100*LN(LEVEL!K2)</f>
        <v/>
      </c>
      <c r="L2" s="5">
        <f>LEVEL!L2</f>
        <v/>
      </c>
      <c r="M2" s="5">
        <f>LEVEL!M2</f>
        <v/>
      </c>
      <c r="N2" s="5">
        <f>100*LN(LEVEL!N2)</f>
        <v/>
      </c>
      <c r="O2" s="5">
        <f>100*LN(LEVEL!O2)</f>
        <v/>
      </c>
      <c r="P2" s="6">
        <f>IF(AND(YEAR($A2)=2020,MONTH($A2)=3),1,0)</f>
        <v/>
      </c>
      <c r="Q2" s="6">
        <f>IF(AND(YEAR($A2)=2020,MONTH($A2)=4),1,0)</f>
        <v/>
      </c>
      <c r="R2" s="6">
        <f>IF(AND(YEAR($A2)=2020,MONTH($A2)=5),1,0)</f>
        <v/>
      </c>
      <c r="S2" s="6">
        <f>IF(AND(YEAR($A2)=2020,MONTH($A2)=6),1,0)</f>
        <v/>
      </c>
    </row>
    <row r="3">
      <c r="A3" s="3" t="n">
        <v>36557</v>
      </c>
      <c r="B3" s="4" t="inlineStr">
        <is>
          <t>2000m2</t>
        </is>
      </c>
      <c r="C3" s="5">
        <f>100*LN(LEVEL!C3)</f>
        <v/>
      </c>
      <c r="D3" s="5">
        <f>100*LN(LEVEL!D3)</f>
        <v/>
      </c>
      <c r="E3" s="5">
        <f>100*LN(LEVEL!E3)</f>
        <v/>
      </c>
      <c r="F3" s="5">
        <f>LEVEL!F3</f>
        <v/>
      </c>
      <c r="G3" s="5">
        <f>LEVEL!G3</f>
        <v/>
      </c>
      <c r="H3" s="5">
        <f>100*LN(LEVEL!H3)</f>
        <v/>
      </c>
      <c r="I3" s="5">
        <f>100*LN(LEVEL!I3)</f>
        <v/>
      </c>
      <c r="J3" s="5">
        <f>100*LN(LEVEL!J3)</f>
        <v/>
      </c>
      <c r="K3" s="5">
        <f>100*LN(LEVEL!K3)</f>
        <v/>
      </c>
      <c r="L3" s="5">
        <f>LEVEL!L3</f>
        <v/>
      </c>
      <c r="M3" s="5">
        <f>LEVEL!M3</f>
        <v/>
      </c>
      <c r="N3" s="5">
        <f>100*LN(LEVEL!N3)</f>
        <v/>
      </c>
      <c r="O3" s="5">
        <f>100*LN(LEVEL!O3)</f>
        <v/>
      </c>
      <c r="P3" s="6">
        <f>IF(AND(YEAR($A3)=2020,MONTH($A3)=3),1,0)</f>
        <v/>
      </c>
      <c r="Q3" s="6">
        <f>IF(AND(YEAR($A3)=2020,MONTH($A3)=4),1,0)</f>
        <v/>
      </c>
      <c r="R3" s="6">
        <f>IF(AND(YEAR($A3)=2020,MONTH($A3)=5),1,0)</f>
        <v/>
      </c>
      <c r="S3" s="6">
        <f>IF(AND(YEAR($A3)=2020,MONTH($A3)=6),1,0)</f>
        <v/>
      </c>
    </row>
    <row r="4">
      <c r="A4" s="3" t="n">
        <v>36586</v>
      </c>
      <c r="B4" s="4" t="inlineStr">
        <is>
          <t>2000m3</t>
        </is>
      </c>
      <c r="C4" s="5">
        <f>100*LN(LEVEL!C4)</f>
        <v/>
      </c>
      <c r="D4" s="5">
        <f>100*LN(LEVEL!D4)</f>
        <v/>
      </c>
      <c r="E4" s="5">
        <f>100*LN(LEVEL!E4)</f>
        <v/>
      </c>
      <c r="F4" s="5">
        <f>LEVEL!F4</f>
        <v/>
      </c>
      <c r="G4" s="5">
        <f>LEVEL!G4</f>
        <v/>
      </c>
      <c r="H4" s="5">
        <f>100*LN(LEVEL!H4)</f>
        <v/>
      </c>
      <c r="I4" s="5">
        <f>100*LN(LEVEL!I4)</f>
        <v/>
      </c>
      <c r="J4" s="5">
        <f>100*LN(LEVEL!J4)</f>
        <v/>
      </c>
      <c r="K4" s="5">
        <f>100*LN(LEVEL!K4)</f>
        <v/>
      </c>
      <c r="L4" s="5">
        <f>LEVEL!L4</f>
        <v/>
      </c>
      <c r="M4" s="5">
        <f>LEVEL!M4</f>
        <v/>
      </c>
      <c r="N4" s="5">
        <f>100*LN(LEVEL!N4)</f>
        <v/>
      </c>
      <c r="O4" s="5">
        <f>100*LN(LEVEL!O4)</f>
        <v/>
      </c>
      <c r="P4" s="6">
        <f>IF(AND(YEAR($A4)=2020,MONTH($A4)=3),1,0)</f>
        <v/>
      </c>
      <c r="Q4" s="6">
        <f>IF(AND(YEAR($A4)=2020,MONTH($A4)=4),1,0)</f>
        <v/>
      </c>
      <c r="R4" s="6">
        <f>IF(AND(YEAR($A4)=2020,MONTH($A4)=5),1,0)</f>
        <v/>
      </c>
      <c r="S4" s="6">
        <f>IF(AND(YEAR($A4)=2020,MONTH($A4)=6),1,0)</f>
        <v/>
      </c>
    </row>
    <row r="5">
      <c r="A5" s="3" t="n">
        <v>36617</v>
      </c>
      <c r="B5" s="4" t="inlineStr">
        <is>
          <t>2000m4</t>
        </is>
      </c>
      <c r="C5" s="5">
        <f>100*LN(LEVEL!C5)</f>
        <v/>
      </c>
      <c r="D5" s="5">
        <f>100*LN(LEVEL!D5)</f>
        <v/>
      </c>
      <c r="E5" s="5">
        <f>100*LN(LEVEL!E5)</f>
        <v/>
      </c>
      <c r="F5" s="5">
        <f>LEVEL!F5</f>
        <v/>
      </c>
      <c r="G5" s="5">
        <f>LEVEL!G5</f>
        <v/>
      </c>
      <c r="H5" s="5">
        <f>100*LN(LEVEL!H5)</f>
        <v/>
      </c>
      <c r="I5" s="5">
        <f>100*LN(LEVEL!I5)</f>
        <v/>
      </c>
      <c r="J5" s="5">
        <f>100*LN(LEVEL!J5)</f>
        <v/>
      </c>
      <c r="K5" s="5">
        <f>100*LN(LEVEL!K5)</f>
        <v/>
      </c>
      <c r="L5" s="5">
        <f>LEVEL!L5</f>
        <v/>
      </c>
      <c r="M5" s="5">
        <f>LEVEL!M5</f>
        <v/>
      </c>
      <c r="N5" s="5">
        <f>100*LN(LEVEL!N5)</f>
        <v/>
      </c>
      <c r="O5" s="5">
        <f>100*LN(LEVEL!O5)</f>
        <v/>
      </c>
      <c r="P5" s="6">
        <f>IF(AND(YEAR($A5)=2020,MONTH($A5)=3),1,0)</f>
        <v/>
      </c>
      <c r="Q5" s="6">
        <f>IF(AND(YEAR($A5)=2020,MONTH($A5)=4),1,0)</f>
        <v/>
      </c>
      <c r="R5" s="6">
        <f>IF(AND(YEAR($A5)=2020,MONTH($A5)=5),1,0)</f>
        <v/>
      </c>
      <c r="S5" s="6">
        <f>IF(AND(YEAR($A5)=2020,MONTH($A5)=6),1,0)</f>
        <v/>
      </c>
    </row>
    <row r="6">
      <c r="A6" s="3" t="n">
        <v>36647</v>
      </c>
      <c r="B6" s="4" t="inlineStr">
        <is>
          <t>2000m5</t>
        </is>
      </c>
      <c r="C6" s="5">
        <f>100*LN(LEVEL!C6)</f>
        <v/>
      </c>
      <c r="D6" s="5">
        <f>100*LN(LEVEL!D6)</f>
        <v/>
      </c>
      <c r="E6" s="5">
        <f>100*LN(LEVEL!E6)</f>
        <v/>
      </c>
      <c r="F6" s="5">
        <f>LEVEL!F6</f>
        <v/>
      </c>
      <c r="G6" s="5">
        <f>LEVEL!G6</f>
        <v/>
      </c>
      <c r="H6" s="5">
        <f>100*LN(LEVEL!H6)</f>
        <v/>
      </c>
      <c r="I6" s="5">
        <f>100*LN(LEVEL!I6)</f>
        <v/>
      </c>
      <c r="J6" s="5">
        <f>100*LN(LEVEL!J6)</f>
        <v/>
      </c>
      <c r="K6" s="5">
        <f>100*LN(LEVEL!K6)</f>
        <v/>
      </c>
      <c r="L6" s="5">
        <f>LEVEL!L6</f>
        <v/>
      </c>
      <c r="M6" s="5">
        <f>LEVEL!M6</f>
        <v/>
      </c>
      <c r="N6" s="5">
        <f>100*LN(LEVEL!N6)</f>
        <v/>
      </c>
      <c r="O6" s="5">
        <f>100*LN(LEVEL!O6)</f>
        <v/>
      </c>
      <c r="P6" s="6">
        <f>IF(AND(YEAR($A6)=2020,MONTH($A6)=3),1,0)</f>
        <v/>
      </c>
      <c r="Q6" s="6">
        <f>IF(AND(YEAR($A6)=2020,MONTH($A6)=4),1,0)</f>
        <v/>
      </c>
      <c r="R6" s="6">
        <f>IF(AND(YEAR($A6)=2020,MONTH($A6)=5),1,0)</f>
        <v/>
      </c>
      <c r="S6" s="6">
        <f>IF(AND(YEAR($A6)=2020,MONTH($A6)=6),1,0)</f>
        <v/>
      </c>
    </row>
    <row r="7">
      <c r="A7" s="3" t="n">
        <v>36678</v>
      </c>
      <c r="B7" s="4" t="inlineStr">
        <is>
          <t>2000m6</t>
        </is>
      </c>
      <c r="C7" s="5">
        <f>100*LN(LEVEL!C7)</f>
        <v/>
      </c>
      <c r="D7" s="5">
        <f>100*LN(LEVEL!D7)</f>
        <v/>
      </c>
      <c r="E7" s="5">
        <f>100*LN(LEVEL!E7)</f>
        <v/>
      </c>
      <c r="F7" s="5">
        <f>LEVEL!F7</f>
        <v/>
      </c>
      <c r="G7" s="5">
        <f>LEVEL!G7</f>
        <v/>
      </c>
      <c r="H7" s="5">
        <f>100*LN(LEVEL!H7)</f>
        <v/>
      </c>
      <c r="I7" s="5">
        <f>100*LN(LEVEL!I7)</f>
        <v/>
      </c>
      <c r="J7" s="5">
        <f>100*LN(LEVEL!J7)</f>
        <v/>
      </c>
      <c r="K7" s="5">
        <f>100*LN(LEVEL!K7)</f>
        <v/>
      </c>
      <c r="L7" s="5">
        <f>LEVEL!L7</f>
        <v/>
      </c>
      <c r="M7" s="5">
        <f>LEVEL!M7</f>
        <v/>
      </c>
      <c r="N7" s="5">
        <f>100*LN(LEVEL!N7)</f>
        <v/>
      </c>
      <c r="O7" s="5">
        <f>100*LN(LEVEL!O7)</f>
        <v/>
      </c>
      <c r="P7" s="6">
        <f>IF(AND(YEAR($A7)=2020,MONTH($A7)=3),1,0)</f>
        <v/>
      </c>
      <c r="Q7" s="6">
        <f>IF(AND(YEAR($A7)=2020,MONTH($A7)=4),1,0)</f>
        <v/>
      </c>
      <c r="R7" s="6">
        <f>IF(AND(YEAR($A7)=2020,MONTH($A7)=5),1,0)</f>
        <v/>
      </c>
      <c r="S7" s="6">
        <f>IF(AND(YEAR($A7)=2020,MONTH($A7)=6),1,0)</f>
        <v/>
      </c>
    </row>
    <row r="8">
      <c r="A8" s="3" t="n">
        <v>36708</v>
      </c>
      <c r="B8" s="4" t="inlineStr">
        <is>
          <t>2000m7</t>
        </is>
      </c>
      <c r="C8" s="5">
        <f>100*LN(LEVEL!C8)</f>
        <v/>
      </c>
      <c r="D8" s="5">
        <f>100*LN(LEVEL!D8)</f>
        <v/>
      </c>
      <c r="E8" s="5">
        <f>100*LN(LEVEL!E8)</f>
        <v/>
      </c>
      <c r="F8" s="5">
        <f>LEVEL!F8</f>
        <v/>
      </c>
      <c r="G8" s="5">
        <f>LEVEL!G8</f>
        <v/>
      </c>
      <c r="H8" s="5">
        <f>100*LN(LEVEL!H8)</f>
        <v/>
      </c>
      <c r="I8" s="5">
        <f>100*LN(LEVEL!I8)</f>
        <v/>
      </c>
      <c r="J8" s="5">
        <f>100*LN(LEVEL!J8)</f>
        <v/>
      </c>
      <c r="K8" s="5">
        <f>100*LN(LEVEL!K8)</f>
        <v/>
      </c>
      <c r="L8" s="5">
        <f>LEVEL!L8</f>
        <v/>
      </c>
      <c r="M8" s="5">
        <f>LEVEL!M8</f>
        <v/>
      </c>
      <c r="N8" s="5">
        <f>100*LN(LEVEL!N8)</f>
        <v/>
      </c>
      <c r="O8" s="5">
        <f>100*LN(LEVEL!O8)</f>
        <v/>
      </c>
      <c r="P8" s="6">
        <f>IF(AND(YEAR($A8)=2020,MONTH($A8)=3),1,0)</f>
        <v/>
      </c>
      <c r="Q8" s="6">
        <f>IF(AND(YEAR($A8)=2020,MONTH($A8)=4),1,0)</f>
        <v/>
      </c>
      <c r="R8" s="6">
        <f>IF(AND(YEAR($A8)=2020,MONTH($A8)=5),1,0)</f>
        <v/>
      </c>
      <c r="S8" s="6">
        <f>IF(AND(YEAR($A8)=2020,MONTH($A8)=6),1,0)</f>
        <v/>
      </c>
    </row>
    <row r="9">
      <c r="A9" s="3" t="n">
        <v>36739</v>
      </c>
      <c r="B9" s="4" t="inlineStr">
        <is>
          <t>2000m8</t>
        </is>
      </c>
      <c r="C9" s="5">
        <f>100*LN(LEVEL!C9)</f>
        <v/>
      </c>
      <c r="D9" s="5">
        <f>100*LN(LEVEL!D9)</f>
        <v/>
      </c>
      <c r="E9" s="5">
        <f>100*LN(LEVEL!E9)</f>
        <v/>
      </c>
      <c r="F9" s="5">
        <f>LEVEL!F9</f>
        <v/>
      </c>
      <c r="G9" s="5">
        <f>LEVEL!G9</f>
        <v/>
      </c>
      <c r="H9" s="5">
        <f>100*LN(LEVEL!H9)</f>
        <v/>
      </c>
      <c r="I9" s="5">
        <f>100*LN(LEVEL!I9)</f>
        <v/>
      </c>
      <c r="J9" s="5">
        <f>100*LN(LEVEL!J9)</f>
        <v/>
      </c>
      <c r="K9" s="5">
        <f>100*LN(LEVEL!K9)</f>
        <v/>
      </c>
      <c r="L9" s="5">
        <f>LEVEL!L9</f>
        <v/>
      </c>
      <c r="M9" s="5">
        <f>LEVEL!M9</f>
        <v/>
      </c>
      <c r="N9" s="5">
        <f>100*LN(LEVEL!N9)</f>
        <v/>
      </c>
      <c r="O9" s="5">
        <f>100*LN(LEVEL!O9)</f>
        <v/>
      </c>
      <c r="P9" s="6">
        <f>IF(AND(YEAR($A9)=2020,MONTH($A9)=3),1,0)</f>
        <v/>
      </c>
      <c r="Q9" s="6">
        <f>IF(AND(YEAR($A9)=2020,MONTH($A9)=4),1,0)</f>
        <v/>
      </c>
      <c r="R9" s="6">
        <f>IF(AND(YEAR($A9)=2020,MONTH($A9)=5),1,0)</f>
        <v/>
      </c>
      <c r="S9" s="6">
        <f>IF(AND(YEAR($A9)=2020,MONTH($A9)=6),1,0)</f>
        <v/>
      </c>
    </row>
    <row r="10">
      <c r="A10" s="3" t="n">
        <v>36770</v>
      </c>
      <c r="B10" s="4" t="inlineStr">
        <is>
          <t>2000m9</t>
        </is>
      </c>
      <c r="C10" s="5">
        <f>100*LN(LEVEL!C10)</f>
        <v/>
      </c>
      <c r="D10" s="5">
        <f>100*LN(LEVEL!D10)</f>
        <v/>
      </c>
      <c r="E10" s="5">
        <f>100*LN(LEVEL!E10)</f>
        <v/>
      </c>
      <c r="F10" s="5">
        <f>LEVEL!F10</f>
        <v/>
      </c>
      <c r="G10" s="5">
        <f>LEVEL!G10</f>
        <v/>
      </c>
      <c r="H10" s="5">
        <f>100*LN(LEVEL!H10)</f>
        <v/>
      </c>
      <c r="I10" s="5">
        <f>100*LN(LEVEL!I10)</f>
        <v/>
      </c>
      <c r="J10" s="5">
        <f>100*LN(LEVEL!J10)</f>
        <v/>
      </c>
      <c r="K10" s="5">
        <f>100*LN(LEVEL!K10)</f>
        <v/>
      </c>
      <c r="L10" s="5">
        <f>LEVEL!L10</f>
        <v/>
      </c>
      <c r="M10" s="5">
        <f>LEVEL!M10</f>
        <v/>
      </c>
      <c r="N10" s="5">
        <f>100*LN(LEVEL!N10)</f>
        <v/>
      </c>
      <c r="O10" s="5">
        <f>100*LN(LEVEL!O10)</f>
        <v/>
      </c>
      <c r="P10" s="6">
        <f>IF(AND(YEAR($A10)=2020,MONTH($A10)=3),1,0)</f>
        <v/>
      </c>
      <c r="Q10" s="6">
        <f>IF(AND(YEAR($A10)=2020,MONTH($A10)=4),1,0)</f>
        <v/>
      </c>
      <c r="R10" s="6">
        <f>IF(AND(YEAR($A10)=2020,MONTH($A10)=5),1,0)</f>
        <v/>
      </c>
      <c r="S10" s="6">
        <f>IF(AND(YEAR($A10)=2020,MONTH($A10)=6),1,0)</f>
        <v/>
      </c>
    </row>
    <row r="11">
      <c r="A11" s="3" t="n">
        <v>36800</v>
      </c>
      <c r="B11" s="4" t="inlineStr">
        <is>
          <t>2000m10</t>
        </is>
      </c>
      <c r="C11" s="5">
        <f>100*LN(LEVEL!C11)</f>
        <v/>
      </c>
      <c r="D11" s="5">
        <f>100*LN(LEVEL!D11)</f>
        <v/>
      </c>
      <c r="E11" s="5">
        <f>100*LN(LEVEL!E11)</f>
        <v/>
      </c>
      <c r="F11" s="5">
        <f>LEVEL!F11</f>
        <v/>
      </c>
      <c r="G11" s="5">
        <f>LEVEL!G11</f>
        <v/>
      </c>
      <c r="H11" s="5">
        <f>100*LN(LEVEL!H11)</f>
        <v/>
      </c>
      <c r="I11" s="5">
        <f>100*LN(LEVEL!I11)</f>
        <v/>
      </c>
      <c r="J11" s="5">
        <f>100*LN(LEVEL!J11)</f>
        <v/>
      </c>
      <c r="K11" s="5">
        <f>100*LN(LEVEL!K11)</f>
        <v/>
      </c>
      <c r="L11" s="5">
        <f>LEVEL!L11</f>
        <v/>
      </c>
      <c r="M11" s="5">
        <f>LEVEL!M11</f>
        <v/>
      </c>
      <c r="N11" s="5">
        <f>100*LN(LEVEL!N11)</f>
        <v/>
      </c>
      <c r="O11" s="5">
        <f>100*LN(LEVEL!O11)</f>
        <v/>
      </c>
      <c r="P11" s="6">
        <f>IF(AND(YEAR($A11)=2020,MONTH($A11)=3),1,0)</f>
        <v/>
      </c>
      <c r="Q11" s="6">
        <f>IF(AND(YEAR($A11)=2020,MONTH($A11)=4),1,0)</f>
        <v/>
      </c>
      <c r="R11" s="6">
        <f>IF(AND(YEAR($A11)=2020,MONTH($A11)=5),1,0)</f>
        <v/>
      </c>
      <c r="S11" s="6">
        <f>IF(AND(YEAR($A11)=2020,MONTH($A11)=6),1,0)</f>
        <v/>
      </c>
    </row>
    <row r="12">
      <c r="A12" s="3" t="n">
        <v>36831</v>
      </c>
      <c r="B12" s="4" t="inlineStr">
        <is>
          <t>2000m11</t>
        </is>
      </c>
      <c r="C12" s="5">
        <f>100*LN(LEVEL!C12)</f>
        <v/>
      </c>
      <c r="D12" s="5">
        <f>100*LN(LEVEL!D12)</f>
        <v/>
      </c>
      <c r="E12" s="5">
        <f>100*LN(LEVEL!E12)</f>
        <v/>
      </c>
      <c r="F12" s="5">
        <f>LEVEL!F12</f>
        <v/>
      </c>
      <c r="G12" s="5">
        <f>LEVEL!G12</f>
        <v/>
      </c>
      <c r="H12" s="5">
        <f>100*LN(LEVEL!H12)</f>
        <v/>
      </c>
      <c r="I12" s="5">
        <f>100*LN(LEVEL!I12)</f>
        <v/>
      </c>
      <c r="J12" s="5">
        <f>100*LN(LEVEL!J12)</f>
        <v/>
      </c>
      <c r="K12" s="5">
        <f>100*LN(LEVEL!K12)</f>
        <v/>
      </c>
      <c r="L12" s="5">
        <f>LEVEL!L12</f>
        <v/>
      </c>
      <c r="M12" s="5">
        <f>LEVEL!M12</f>
        <v/>
      </c>
      <c r="N12" s="5">
        <f>100*LN(LEVEL!N12)</f>
        <v/>
      </c>
      <c r="O12" s="5">
        <f>100*LN(LEVEL!O12)</f>
        <v/>
      </c>
      <c r="P12" s="6">
        <f>IF(AND(YEAR($A12)=2020,MONTH($A12)=3),1,0)</f>
        <v/>
      </c>
      <c r="Q12" s="6">
        <f>IF(AND(YEAR($A12)=2020,MONTH($A12)=4),1,0)</f>
        <v/>
      </c>
      <c r="R12" s="6">
        <f>IF(AND(YEAR($A12)=2020,MONTH($A12)=5),1,0)</f>
        <v/>
      </c>
      <c r="S12" s="6">
        <f>IF(AND(YEAR($A12)=2020,MONTH($A12)=6),1,0)</f>
        <v/>
      </c>
    </row>
    <row r="13">
      <c r="A13" s="3" t="n">
        <v>36861</v>
      </c>
      <c r="B13" s="4" t="inlineStr">
        <is>
          <t>2000m12</t>
        </is>
      </c>
      <c r="C13" s="5">
        <f>100*LN(LEVEL!C13)</f>
        <v/>
      </c>
      <c r="D13" s="5">
        <f>100*LN(LEVEL!D13)</f>
        <v/>
      </c>
      <c r="E13" s="5">
        <f>100*LN(LEVEL!E13)</f>
        <v/>
      </c>
      <c r="F13" s="5">
        <f>LEVEL!F13</f>
        <v/>
      </c>
      <c r="G13" s="5">
        <f>LEVEL!G13</f>
        <v/>
      </c>
      <c r="H13" s="5">
        <f>100*LN(LEVEL!H13)</f>
        <v/>
      </c>
      <c r="I13" s="5">
        <f>100*LN(LEVEL!I13)</f>
        <v/>
      </c>
      <c r="J13" s="5">
        <f>100*LN(LEVEL!J13)</f>
        <v/>
      </c>
      <c r="K13" s="5">
        <f>100*LN(LEVEL!K13)</f>
        <v/>
      </c>
      <c r="L13" s="5">
        <f>LEVEL!L13</f>
        <v/>
      </c>
      <c r="M13" s="5">
        <f>LEVEL!M13</f>
        <v/>
      </c>
      <c r="N13" s="5">
        <f>100*LN(LEVEL!N13)</f>
        <v/>
      </c>
      <c r="O13" s="5">
        <f>100*LN(LEVEL!O13)</f>
        <v/>
      </c>
      <c r="P13" s="6">
        <f>IF(AND(YEAR($A13)=2020,MONTH($A13)=3),1,0)</f>
        <v/>
      </c>
      <c r="Q13" s="6">
        <f>IF(AND(YEAR($A13)=2020,MONTH($A13)=4),1,0)</f>
        <v/>
      </c>
      <c r="R13" s="6">
        <f>IF(AND(YEAR($A13)=2020,MONTH($A13)=5),1,0)</f>
        <v/>
      </c>
      <c r="S13" s="6">
        <f>IF(AND(YEAR($A13)=2020,MONTH($A13)=6),1,0)</f>
        <v/>
      </c>
    </row>
    <row r="14">
      <c r="A14" s="3" t="n">
        <v>36892</v>
      </c>
      <c r="B14" s="4" t="inlineStr">
        <is>
          <t>2001m1</t>
        </is>
      </c>
      <c r="C14" s="5">
        <f>100*LN(LEVEL!C14)</f>
        <v/>
      </c>
      <c r="D14" s="5">
        <f>100*LN(LEVEL!D14)</f>
        <v/>
      </c>
      <c r="E14" s="5">
        <f>100*LN(LEVEL!E14)</f>
        <v/>
      </c>
      <c r="F14" s="5">
        <f>LEVEL!F14</f>
        <v/>
      </c>
      <c r="G14" s="5">
        <f>LEVEL!G14</f>
        <v/>
      </c>
      <c r="H14" s="5">
        <f>100*LN(LEVEL!H14)</f>
        <v/>
      </c>
      <c r="I14" s="5">
        <f>100*LN(LEVEL!I14)</f>
        <v/>
      </c>
      <c r="J14" s="5">
        <f>100*LN(LEVEL!J14)</f>
        <v/>
      </c>
      <c r="K14" s="5">
        <f>100*LN(LEVEL!K14)</f>
        <v/>
      </c>
      <c r="L14" s="5">
        <f>LEVEL!L14</f>
        <v/>
      </c>
      <c r="M14" s="5">
        <f>LEVEL!M14</f>
        <v/>
      </c>
      <c r="N14" s="5">
        <f>100*LN(LEVEL!N14)</f>
        <v/>
      </c>
      <c r="O14" s="5">
        <f>100*LN(LEVEL!O14)</f>
        <v/>
      </c>
      <c r="P14" s="6">
        <f>IF(AND(YEAR($A14)=2020,MONTH($A14)=3),1,0)</f>
        <v/>
      </c>
      <c r="Q14" s="6">
        <f>IF(AND(YEAR($A14)=2020,MONTH($A14)=4),1,0)</f>
        <v/>
      </c>
      <c r="R14" s="6">
        <f>IF(AND(YEAR($A14)=2020,MONTH($A14)=5),1,0)</f>
        <v/>
      </c>
      <c r="S14" s="6">
        <f>IF(AND(YEAR($A14)=2020,MONTH($A14)=6),1,0)</f>
        <v/>
      </c>
    </row>
    <row r="15">
      <c r="A15" s="3" t="n">
        <v>36923</v>
      </c>
      <c r="B15" s="4" t="inlineStr">
        <is>
          <t>2001m2</t>
        </is>
      </c>
      <c r="C15" s="5">
        <f>100*LN(LEVEL!C15)</f>
        <v/>
      </c>
      <c r="D15" s="5">
        <f>100*LN(LEVEL!D15)</f>
        <v/>
      </c>
      <c r="E15" s="5">
        <f>100*LN(LEVEL!E15)</f>
        <v/>
      </c>
      <c r="F15" s="5">
        <f>LEVEL!F15</f>
        <v/>
      </c>
      <c r="G15" s="5">
        <f>LEVEL!G15</f>
        <v/>
      </c>
      <c r="H15" s="5">
        <f>100*LN(LEVEL!H15)</f>
        <v/>
      </c>
      <c r="I15" s="5">
        <f>100*LN(LEVEL!I15)</f>
        <v/>
      </c>
      <c r="J15" s="5">
        <f>100*LN(LEVEL!J15)</f>
        <v/>
      </c>
      <c r="K15" s="5">
        <f>100*LN(LEVEL!K15)</f>
        <v/>
      </c>
      <c r="L15" s="5">
        <f>LEVEL!L15</f>
        <v/>
      </c>
      <c r="M15" s="5">
        <f>LEVEL!M15</f>
        <v/>
      </c>
      <c r="N15" s="5">
        <f>100*LN(LEVEL!N15)</f>
        <v/>
      </c>
      <c r="O15" s="5">
        <f>100*LN(LEVEL!O15)</f>
        <v/>
      </c>
      <c r="P15" s="6">
        <f>IF(AND(YEAR($A15)=2020,MONTH($A15)=3),1,0)</f>
        <v/>
      </c>
      <c r="Q15" s="6">
        <f>IF(AND(YEAR($A15)=2020,MONTH($A15)=4),1,0)</f>
        <v/>
      </c>
      <c r="R15" s="6">
        <f>IF(AND(YEAR($A15)=2020,MONTH($A15)=5),1,0)</f>
        <v/>
      </c>
      <c r="S15" s="6">
        <f>IF(AND(YEAR($A15)=2020,MONTH($A15)=6),1,0)</f>
        <v/>
      </c>
    </row>
    <row r="16">
      <c r="A16" s="3" t="n">
        <v>36951</v>
      </c>
      <c r="B16" s="4" t="inlineStr">
        <is>
          <t>2001m3</t>
        </is>
      </c>
      <c r="C16" s="5">
        <f>100*LN(LEVEL!C16)</f>
        <v/>
      </c>
      <c r="D16" s="5">
        <f>100*LN(LEVEL!D16)</f>
        <v/>
      </c>
      <c r="E16" s="5">
        <f>100*LN(LEVEL!E16)</f>
        <v/>
      </c>
      <c r="F16" s="5">
        <f>LEVEL!F16</f>
        <v/>
      </c>
      <c r="G16" s="5">
        <f>LEVEL!G16</f>
        <v/>
      </c>
      <c r="H16" s="5">
        <f>100*LN(LEVEL!H16)</f>
        <v/>
      </c>
      <c r="I16" s="5">
        <f>100*LN(LEVEL!I16)</f>
        <v/>
      </c>
      <c r="J16" s="5">
        <f>100*LN(LEVEL!J16)</f>
        <v/>
      </c>
      <c r="K16" s="5">
        <f>100*LN(LEVEL!K16)</f>
        <v/>
      </c>
      <c r="L16" s="5">
        <f>LEVEL!L16</f>
        <v/>
      </c>
      <c r="M16" s="5">
        <f>LEVEL!M16</f>
        <v/>
      </c>
      <c r="N16" s="5">
        <f>100*LN(LEVEL!N16)</f>
        <v/>
      </c>
      <c r="O16" s="5">
        <f>100*LN(LEVEL!O16)</f>
        <v/>
      </c>
      <c r="P16" s="6">
        <f>IF(AND(YEAR($A16)=2020,MONTH($A16)=3),1,0)</f>
        <v/>
      </c>
      <c r="Q16" s="6">
        <f>IF(AND(YEAR($A16)=2020,MONTH($A16)=4),1,0)</f>
        <v/>
      </c>
      <c r="R16" s="6">
        <f>IF(AND(YEAR($A16)=2020,MONTH($A16)=5),1,0)</f>
        <v/>
      </c>
      <c r="S16" s="6">
        <f>IF(AND(YEAR($A16)=2020,MONTH($A16)=6),1,0)</f>
        <v/>
      </c>
    </row>
    <row r="17">
      <c r="A17" s="3" t="n">
        <v>36982</v>
      </c>
      <c r="B17" s="4" t="inlineStr">
        <is>
          <t>2001m4</t>
        </is>
      </c>
      <c r="C17" s="5">
        <f>100*LN(LEVEL!C17)</f>
        <v/>
      </c>
      <c r="D17" s="5">
        <f>100*LN(LEVEL!D17)</f>
        <v/>
      </c>
      <c r="E17" s="5">
        <f>100*LN(LEVEL!E17)</f>
        <v/>
      </c>
      <c r="F17" s="5">
        <f>LEVEL!F17</f>
        <v/>
      </c>
      <c r="G17" s="5">
        <f>LEVEL!G17</f>
        <v/>
      </c>
      <c r="H17" s="5">
        <f>100*LN(LEVEL!H17)</f>
        <v/>
      </c>
      <c r="I17" s="5">
        <f>100*LN(LEVEL!I17)</f>
        <v/>
      </c>
      <c r="J17" s="5">
        <f>100*LN(LEVEL!J17)</f>
        <v/>
      </c>
      <c r="K17" s="5">
        <f>100*LN(LEVEL!K17)</f>
        <v/>
      </c>
      <c r="L17" s="5">
        <f>LEVEL!L17</f>
        <v/>
      </c>
      <c r="M17" s="5">
        <f>LEVEL!M17</f>
        <v/>
      </c>
      <c r="N17" s="5">
        <f>100*LN(LEVEL!N17)</f>
        <v/>
      </c>
      <c r="O17" s="5">
        <f>100*LN(LEVEL!O17)</f>
        <v/>
      </c>
      <c r="P17" s="6">
        <f>IF(AND(YEAR($A17)=2020,MONTH($A17)=3),1,0)</f>
        <v/>
      </c>
      <c r="Q17" s="6">
        <f>IF(AND(YEAR($A17)=2020,MONTH($A17)=4),1,0)</f>
        <v/>
      </c>
      <c r="R17" s="6">
        <f>IF(AND(YEAR($A17)=2020,MONTH($A17)=5),1,0)</f>
        <v/>
      </c>
      <c r="S17" s="6">
        <f>IF(AND(YEAR($A17)=2020,MONTH($A17)=6),1,0)</f>
        <v/>
      </c>
    </row>
    <row r="18">
      <c r="A18" s="3" t="n">
        <v>37012</v>
      </c>
      <c r="B18" s="4" t="inlineStr">
        <is>
          <t>2001m5</t>
        </is>
      </c>
      <c r="C18" s="5">
        <f>100*LN(LEVEL!C18)</f>
        <v/>
      </c>
      <c r="D18" s="5">
        <f>100*LN(LEVEL!D18)</f>
        <v/>
      </c>
      <c r="E18" s="5">
        <f>100*LN(LEVEL!E18)</f>
        <v/>
      </c>
      <c r="F18" s="5">
        <f>LEVEL!F18</f>
        <v/>
      </c>
      <c r="G18" s="5">
        <f>LEVEL!G18</f>
        <v/>
      </c>
      <c r="H18" s="5">
        <f>100*LN(LEVEL!H18)</f>
        <v/>
      </c>
      <c r="I18" s="5">
        <f>100*LN(LEVEL!I18)</f>
        <v/>
      </c>
      <c r="J18" s="5">
        <f>100*LN(LEVEL!J18)</f>
        <v/>
      </c>
      <c r="K18" s="5">
        <f>100*LN(LEVEL!K18)</f>
        <v/>
      </c>
      <c r="L18" s="5">
        <f>LEVEL!L18</f>
        <v/>
      </c>
      <c r="M18" s="5">
        <f>LEVEL!M18</f>
        <v/>
      </c>
      <c r="N18" s="5">
        <f>100*LN(LEVEL!N18)</f>
        <v/>
      </c>
      <c r="O18" s="5">
        <f>100*LN(LEVEL!O18)</f>
        <v/>
      </c>
      <c r="P18" s="6">
        <f>IF(AND(YEAR($A18)=2020,MONTH($A18)=3),1,0)</f>
        <v/>
      </c>
      <c r="Q18" s="6">
        <f>IF(AND(YEAR($A18)=2020,MONTH($A18)=4),1,0)</f>
        <v/>
      </c>
      <c r="R18" s="6">
        <f>IF(AND(YEAR($A18)=2020,MONTH($A18)=5),1,0)</f>
        <v/>
      </c>
      <c r="S18" s="6">
        <f>IF(AND(YEAR($A18)=2020,MONTH($A18)=6),1,0)</f>
        <v/>
      </c>
    </row>
    <row r="19">
      <c r="A19" s="3" t="n">
        <v>37043</v>
      </c>
      <c r="B19" s="4" t="inlineStr">
        <is>
          <t>2001m6</t>
        </is>
      </c>
      <c r="C19" s="5">
        <f>100*LN(LEVEL!C19)</f>
        <v/>
      </c>
      <c r="D19" s="5">
        <f>100*LN(LEVEL!D19)</f>
        <v/>
      </c>
      <c r="E19" s="5">
        <f>100*LN(LEVEL!E19)</f>
        <v/>
      </c>
      <c r="F19" s="5">
        <f>LEVEL!F19</f>
        <v/>
      </c>
      <c r="G19" s="5">
        <f>LEVEL!G19</f>
        <v/>
      </c>
      <c r="H19" s="5">
        <f>100*LN(LEVEL!H19)</f>
        <v/>
      </c>
      <c r="I19" s="5">
        <f>100*LN(LEVEL!I19)</f>
        <v/>
      </c>
      <c r="J19" s="5">
        <f>100*LN(LEVEL!J19)</f>
        <v/>
      </c>
      <c r="K19" s="5">
        <f>100*LN(LEVEL!K19)</f>
        <v/>
      </c>
      <c r="L19" s="5">
        <f>LEVEL!L19</f>
        <v/>
      </c>
      <c r="M19" s="5">
        <f>LEVEL!M19</f>
        <v/>
      </c>
      <c r="N19" s="5">
        <f>100*LN(LEVEL!N19)</f>
        <v/>
      </c>
      <c r="O19" s="5">
        <f>100*LN(LEVEL!O19)</f>
        <v/>
      </c>
      <c r="P19" s="6">
        <f>IF(AND(YEAR($A19)=2020,MONTH($A19)=3),1,0)</f>
        <v/>
      </c>
      <c r="Q19" s="6">
        <f>IF(AND(YEAR($A19)=2020,MONTH($A19)=4),1,0)</f>
        <v/>
      </c>
      <c r="R19" s="6">
        <f>IF(AND(YEAR($A19)=2020,MONTH($A19)=5),1,0)</f>
        <v/>
      </c>
      <c r="S19" s="6">
        <f>IF(AND(YEAR($A19)=2020,MONTH($A19)=6),1,0)</f>
        <v/>
      </c>
    </row>
    <row r="20">
      <c r="A20" s="3" t="n">
        <v>37073</v>
      </c>
      <c r="B20" s="4" t="inlineStr">
        <is>
          <t>2001m7</t>
        </is>
      </c>
      <c r="C20" s="5">
        <f>100*LN(LEVEL!C20)</f>
        <v/>
      </c>
      <c r="D20" s="5">
        <f>100*LN(LEVEL!D20)</f>
        <v/>
      </c>
      <c r="E20" s="5">
        <f>100*LN(LEVEL!E20)</f>
        <v/>
      </c>
      <c r="F20" s="5">
        <f>LEVEL!F20</f>
        <v/>
      </c>
      <c r="G20" s="5">
        <f>LEVEL!G20</f>
        <v/>
      </c>
      <c r="H20" s="5">
        <f>100*LN(LEVEL!H20)</f>
        <v/>
      </c>
      <c r="I20" s="5">
        <f>100*LN(LEVEL!I20)</f>
        <v/>
      </c>
      <c r="J20" s="5">
        <f>100*LN(LEVEL!J20)</f>
        <v/>
      </c>
      <c r="K20" s="5">
        <f>100*LN(LEVEL!K20)</f>
        <v/>
      </c>
      <c r="L20" s="5">
        <f>LEVEL!L20</f>
        <v/>
      </c>
      <c r="M20" s="5">
        <f>LEVEL!M20</f>
        <v/>
      </c>
      <c r="N20" s="5">
        <f>100*LN(LEVEL!N20)</f>
        <v/>
      </c>
      <c r="O20" s="5">
        <f>100*LN(LEVEL!O20)</f>
        <v/>
      </c>
      <c r="P20" s="6">
        <f>IF(AND(YEAR($A20)=2020,MONTH($A20)=3),1,0)</f>
        <v/>
      </c>
      <c r="Q20" s="6">
        <f>IF(AND(YEAR($A20)=2020,MONTH($A20)=4),1,0)</f>
        <v/>
      </c>
      <c r="R20" s="6">
        <f>IF(AND(YEAR($A20)=2020,MONTH($A20)=5),1,0)</f>
        <v/>
      </c>
      <c r="S20" s="6">
        <f>IF(AND(YEAR($A20)=2020,MONTH($A20)=6),1,0)</f>
        <v/>
      </c>
    </row>
    <row r="21">
      <c r="A21" s="3" t="n">
        <v>37104</v>
      </c>
      <c r="B21" s="4" t="inlineStr">
        <is>
          <t>2001m8</t>
        </is>
      </c>
      <c r="C21" s="5">
        <f>100*LN(LEVEL!C21)</f>
        <v/>
      </c>
      <c r="D21" s="5">
        <f>100*LN(LEVEL!D21)</f>
        <v/>
      </c>
      <c r="E21" s="5">
        <f>100*LN(LEVEL!E21)</f>
        <v/>
      </c>
      <c r="F21" s="5">
        <f>LEVEL!F21</f>
        <v/>
      </c>
      <c r="G21" s="5">
        <f>LEVEL!G21</f>
        <v/>
      </c>
      <c r="H21" s="5">
        <f>100*LN(LEVEL!H21)</f>
        <v/>
      </c>
      <c r="I21" s="5">
        <f>100*LN(LEVEL!I21)</f>
        <v/>
      </c>
      <c r="J21" s="5">
        <f>100*LN(LEVEL!J21)</f>
        <v/>
      </c>
      <c r="K21" s="5">
        <f>100*LN(LEVEL!K21)</f>
        <v/>
      </c>
      <c r="L21" s="5">
        <f>LEVEL!L21</f>
        <v/>
      </c>
      <c r="M21" s="5">
        <f>LEVEL!M21</f>
        <v/>
      </c>
      <c r="N21" s="5">
        <f>100*LN(LEVEL!N21)</f>
        <v/>
      </c>
      <c r="O21" s="5">
        <f>100*LN(LEVEL!O21)</f>
        <v/>
      </c>
      <c r="P21" s="6">
        <f>IF(AND(YEAR($A21)=2020,MONTH($A21)=3),1,0)</f>
        <v/>
      </c>
      <c r="Q21" s="6">
        <f>IF(AND(YEAR($A21)=2020,MONTH($A21)=4),1,0)</f>
        <v/>
      </c>
      <c r="R21" s="6">
        <f>IF(AND(YEAR($A21)=2020,MONTH($A21)=5),1,0)</f>
        <v/>
      </c>
      <c r="S21" s="6">
        <f>IF(AND(YEAR($A21)=2020,MONTH($A21)=6),1,0)</f>
        <v/>
      </c>
    </row>
    <row r="22">
      <c r="A22" s="3" t="n">
        <v>37135</v>
      </c>
      <c r="B22" s="4" t="inlineStr">
        <is>
          <t>2001m9</t>
        </is>
      </c>
      <c r="C22" s="5">
        <f>100*LN(LEVEL!C22)</f>
        <v/>
      </c>
      <c r="D22" s="5">
        <f>100*LN(LEVEL!D22)</f>
        <v/>
      </c>
      <c r="E22" s="5">
        <f>100*LN(LEVEL!E22)</f>
        <v/>
      </c>
      <c r="F22" s="5">
        <f>LEVEL!F22</f>
        <v/>
      </c>
      <c r="G22" s="5">
        <f>LEVEL!G22</f>
        <v/>
      </c>
      <c r="H22" s="5">
        <f>100*LN(LEVEL!H22)</f>
        <v/>
      </c>
      <c r="I22" s="5">
        <f>100*LN(LEVEL!I22)</f>
        <v/>
      </c>
      <c r="J22" s="5">
        <f>100*LN(LEVEL!J22)</f>
        <v/>
      </c>
      <c r="K22" s="5">
        <f>100*LN(LEVEL!K22)</f>
        <v/>
      </c>
      <c r="L22" s="5">
        <f>LEVEL!L22</f>
        <v/>
      </c>
      <c r="M22" s="5">
        <f>LEVEL!M22</f>
        <v/>
      </c>
      <c r="N22" s="5">
        <f>100*LN(LEVEL!N22)</f>
        <v/>
      </c>
      <c r="O22" s="5">
        <f>100*LN(LEVEL!O22)</f>
        <v/>
      </c>
      <c r="P22" s="6">
        <f>IF(AND(YEAR($A22)=2020,MONTH($A22)=3),1,0)</f>
        <v/>
      </c>
      <c r="Q22" s="6">
        <f>IF(AND(YEAR($A22)=2020,MONTH($A22)=4),1,0)</f>
        <v/>
      </c>
      <c r="R22" s="6">
        <f>IF(AND(YEAR($A22)=2020,MONTH($A22)=5),1,0)</f>
        <v/>
      </c>
      <c r="S22" s="6">
        <f>IF(AND(YEAR($A22)=2020,MONTH($A22)=6),1,0)</f>
        <v/>
      </c>
    </row>
    <row r="23">
      <c r="A23" s="3" t="n">
        <v>37165</v>
      </c>
      <c r="B23" s="4" t="inlineStr">
        <is>
          <t>2001m10</t>
        </is>
      </c>
      <c r="C23" s="5">
        <f>100*LN(LEVEL!C23)</f>
        <v/>
      </c>
      <c r="D23" s="5">
        <f>100*LN(LEVEL!D23)</f>
        <v/>
      </c>
      <c r="E23" s="5">
        <f>100*LN(LEVEL!E23)</f>
        <v/>
      </c>
      <c r="F23" s="5">
        <f>LEVEL!F23</f>
        <v/>
      </c>
      <c r="G23" s="5">
        <f>LEVEL!G23</f>
        <v/>
      </c>
      <c r="H23" s="5">
        <f>100*LN(LEVEL!H23)</f>
        <v/>
      </c>
      <c r="I23" s="5">
        <f>100*LN(LEVEL!I23)</f>
        <v/>
      </c>
      <c r="J23" s="5">
        <f>100*LN(LEVEL!J23)</f>
        <v/>
      </c>
      <c r="K23" s="5">
        <f>100*LN(LEVEL!K23)</f>
        <v/>
      </c>
      <c r="L23" s="5">
        <f>LEVEL!L23</f>
        <v/>
      </c>
      <c r="M23" s="5">
        <f>LEVEL!M23</f>
        <v/>
      </c>
      <c r="N23" s="5">
        <f>100*LN(LEVEL!N23)</f>
        <v/>
      </c>
      <c r="O23" s="5">
        <f>100*LN(LEVEL!O23)</f>
        <v/>
      </c>
      <c r="P23" s="6">
        <f>IF(AND(YEAR($A23)=2020,MONTH($A23)=3),1,0)</f>
        <v/>
      </c>
      <c r="Q23" s="6">
        <f>IF(AND(YEAR($A23)=2020,MONTH($A23)=4),1,0)</f>
        <v/>
      </c>
      <c r="R23" s="6">
        <f>IF(AND(YEAR($A23)=2020,MONTH($A23)=5),1,0)</f>
        <v/>
      </c>
      <c r="S23" s="6">
        <f>IF(AND(YEAR($A23)=2020,MONTH($A23)=6),1,0)</f>
        <v/>
      </c>
    </row>
    <row r="24">
      <c r="A24" s="3" t="n">
        <v>37196</v>
      </c>
      <c r="B24" s="4" t="inlineStr">
        <is>
          <t>2001m11</t>
        </is>
      </c>
      <c r="C24" s="5">
        <f>100*LN(LEVEL!C24)</f>
        <v/>
      </c>
      <c r="D24" s="5">
        <f>100*LN(LEVEL!D24)</f>
        <v/>
      </c>
      <c r="E24" s="5">
        <f>100*LN(LEVEL!E24)</f>
        <v/>
      </c>
      <c r="F24" s="5">
        <f>LEVEL!F24</f>
        <v/>
      </c>
      <c r="G24" s="5">
        <f>LEVEL!G24</f>
        <v/>
      </c>
      <c r="H24" s="5">
        <f>100*LN(LEVEL!H24)</f>
        <v/>
      </c>
      <c r="I24" s="5">
        <f>100*LN(LEVEL!I24)</f>
        <v/>
      </c>
      <c r="J24" s="5">
        <f>100*LN(LEVEL!J24)</f>
        <v/>
      </c>
      <c r="K24" s="5">
        <f>100*LN(LEVEL!K24)</f>
        <v/>
      </c>
      <c r="L24" s="5">
        <f>LEVEL!L24</f>
        <v/>
      </c>
      <c r="M24" s="5">
        <f>LEVEL!M24</f>
        <v/>
      </c>
      <c r="N24" s="5">
        <f>100*LN(LEVEL!N24)</f>
        <v/>
      </c>
      <c r="O24" s="5">
        <f>100*LN(LEVEL!O24)</f>
        <v/>
      </c>
      <c r="P24" s="6">
        <f>IF(AND(YEAR($A24)=2020,MONTH($A24)=3),1,0)</f>
        <v/>
      </c>
      <c r="Q24" s="6">
        <f>IF(AND(YEAR($A24)=2020,MONTH($A24)=4),1,0)</f>
        <v/>
      </c>
      <c r="R24" s="6">
        <f>IF(AND(YEAR($A24)=2020,MONTH($A24)=5),1,0)</f>
        <v/>
      </c>
      <c r="S24" s="6">
        <f>IF(AND(YEAR($A24)=2020,MONTH($A24)=6),1,0)</f>
        <v/>
      </c>
    </row>
    <row r="25">
      <c r="A25" s="3" t="n">
        <v>37226</v>
      </c>
      <c r="B25" s="4" t="inlineStr">
        <is>
          <t>2001m12</t>
        </is>
      </c>
      <c r="C25" s="5">
        <f>100*LN(LEVEL!C25)</f>
        <v/>
      </c>
      <c r="D25" s="5">
        <f>100*LN(LEVEL!D25)</f>
        <v/>
      </c>
      <c r="E25" s="5">
        <f>100*LN(LEVEL!E25)</f>
        <v/>
      </c>
      <c r="F25" s="5">
        <f>LEVEL!F25</f>
        <v/>
      </c>
      <c r="G25" s="5">
        <f>LEVEL!G25</f>
        <v/>
      </c>
      <c r="H25" s="5">
        <f>100*LN(LEVEL!H25)</f>
        <v/>
      </c>
      <c r="I25" s="5">
        <f>100*LN(LEVEL!I25)</f>
        <v/>
      </c>
      <c r="J25" s="5">
        <f>100*LN(LEVEL!J25)</f>
        <v/>
      </c>
      <c r="K25" s="5">
        <f>100*LN(LEVEL!K25)</f>
        <v/>
      </c>
      <c r="L25" s="5">
        <f>LEVEL!L25</f>
        <v/>
      </c>
      <c r="M25" s="5">
        <f>LEVEL!M25</f>
        <v/>
      </c>
      <c r="N25" s="5">
        <f>100*LN(LEVEL!N25)</f>
        <v/>
      </c>
      <c r="O25" s="5">
        <f>100*LN(LEVEL!O25)</f>
        <v/>
      </c>
      <c r="P25" s="6">
        <f>IF(AND(YEAR($A25)=2020,MONTH($A25)=3),1,0)</f>
        <v/>
      </c>
      <c r="Q25" s="6">
        <f>IF(AND(YEAR($A25)=2020,MONTH($A25)=4),1,0)</f>
        <v/>
      </c>
      <c r="R25" s="6">
        <f>IF(AND(YEAR($A25)=2020,MONTH($A25)=5),1,0)</f>
        <v/>
      </c>
      <c r="S25" s="6">
        <f>IF(AND(YEAR($A25)=2020,MONTH($A25)=6),1,0)</f>
        <v/>
      </c>
    </row>
    <row r="26">
      <c r="A26" s="3" t="n">
        <v>37257</v>
      </c>
      <c r="B26" s="4" t="inlineStr">
        <is>
          <t>2002m1</t>
        </is>
      </c>
      <c r="C26" s="5">
        <f>100*LN(LEVEL!C26)</f>
        <v/>
      </c>
      <c r="D26" s="5">
        <f>100*LN(LEVEL!D26)</f>
        <v/>
      </c>
      <c r="E26" s="5">
        <f>100*LN(LEVEL!E26)</f>
        <v/>
      </c>
      <c r="F26" s="5">
        <f>LEVEL!F26</f>
        <v/>
      </c>
      <c r="G26" s="5">
        <f>LEVEL!G26</f>
        <v/>
      </c>
      <c r="H26" s="5">
        <f>100*LN(LEVEL!H26)</f>
        <v/>
      </c>
      <c r="I26" s="5">
        <f>100*LN(LEVEL!I26)</f>
        <v/>
      </c>
      <c r="J26" s="5">
        <f>100*LN(LEVEL!J26)</f>
        <v/>
      </c>
      <c r="K26" s="5">
        <f>100*LN(LEVEL!K26)</f>
        <v/>
      </c>
      <c r="L26" s="5">
        <f>LEVEL!L26</f>
        <v/>
      </c>
      <c r="M26" s="5">
        <f>LEVEL!M26</f>
        <v/>
      </c>
      <c r="N26" s="5">
        <f>100*LN(LEVEL!N26)</f>
        <v/>
      </c>
      <c r="O26" s="5">
        <f>100*LN(LEVEL!O26)</f>
        <v/>
      </c>
      <c r="P26" s="6">
        <f>IF(AND(YEAR($A26)=2020,MONTH($A26)=3),1,0)</f>
        <v/>
      </c>
      <c r="Q26" s="6">
        <f>IF(AND(YEAR($A26)=2020,MONTH($A26)=4),1,0)</f>
        <v/>
      </c>
      <c r="R26" s="6">
        <f>IF(AND(YEAR($A26)=2020,MONTH($A26)=5),1,0)</f>
        <v/>
      </c>
      <c r="S26" s="6">
        <f>IF(AND(YEAR($A26)=2020,MONTH($A26)=6),1,0)</f>
        <v/>
      </c>
    </row>
    <row r="27">
      <c r="A27" s="3" t="n">
        <v>37288</v>
      </c>
      <c r="B27" s="4" t="inlineStr">
        <is>
          <t>2002m2</t>
        </is>
      </c>
      <c r="C27" s="5">
        <f>100*LN(LEVEL!C27)</f>
        <v/>
      </c>
      <c r="D27" s="5">
        <f>100*LN(LEVEL!D27)</f>
        <v/>
      </c>
      <c r="E27" s="5">
        <f>100*LN(LEVEL!E27)</f>
        <v/>
      </c>
      <c r="F27" s="5">
        <f>LEVEL!F27</f>
        <v/>
      </c>
      <c r="G27" s="5">
        <f>LEVEL!G27</f>
        <v/>
      </c>
      <c r="H27" s="5">
        <f>100*LN(LEVEL!H27)</f>
        <v/>
      </c>
      <c r="I27" s="5">
        <f>100*LN(LEVEL!I27)</f>
        <v/>
      </c>
      <c r="J27" s="5">
        <f>100*LN(LEVEL!J27)</f>
        <v/>
      </c>
      <c r="K27" s="5">
        <f>100*LN(LEVEL!K27)</f>
        <v/>
      </c>
      <c r="L27" s="5">
        <f>LEVEL!L27</f>
        <v/>
      </c>
      <c r="M27" s="5">
        <f>LEVEL!M27</f>
        <v/>
      </c>
      <c r="N27" s="5">
        <f>100*LN(LEVEL!N27)</f>
        <v/>
      </c>
      <c r="O27" s="5">
        <f>100*LN(LEVEL!O27)</f>
        <v/>
      </c>
      <c r="P27" s="6">
        <f>IF(AND(YEAR($A27)=2020,MONTH($A27)=3),1,0)</f>
        <v/>
      </c>
      <c r="Q27" s="6">
        <f>IF(AND(YEAR($A27)=2020,MONTH($A27)=4),1,0)</f>
        <v/>
      </c>
      <c r="R27" s="6">
        <f>IF(AND(YEAR($A27)=2020,MONTH($A27)=5),1,0)</f>
        <v/>
      </c>
      <c r="S27" s="6">
        <f>IF(AND(YEAR($A27)=2020,MONTH($A27)=6),1,0)</f>
        <v/>
      </c>
    </row>
    <row r="28">
      <c r="A28" s="3" t="n">
        <v>37316</v>
      </c>
      <c r="B28" s="4" t="inlineStr">
        <is>
          <t>2002m3</t>
        </is>
      </c>
      <c r="C28" s="5">
        <f>100*LN(LEVEL!C28)</f>
        <v/>
      </c>
      <c r="D28" s="5">
        <f>100*LN(LEVEL!D28)</f>
        <v/>
      </c>
      <c r="E28" s="5">
        <f>100*LN(LEVEL!E28)</f>
        <v/>
      </c>
      <c r="F28" s="5">
        <f>LEVEL!F28</f>
        <v/>
      </c>
      <c r="G28" s="5">
        <f>LEVEL!G28</f>
        <v/>
      </c>
      <c r="H28" s="5">
        <f>100*LN(LEVEL!H28)</f>
        <v/>
      </c>
      <c r="I28" s="5">
        <f>100*LN(LEVEL!I28)</f>
        <v/>
      </c>
      <c r="J28" s="5">
        <f>100*LN(LEVEL!J28)</f>
        <v/>
      </c>
      <c r="K28" s="5">
        <f>100*LN(LEVEL!K28)</f>
        <v/>
      </c>
      <c r="L28" s="5">
        <f>LEVEL!L28</f>
        <v/>
      </c>
      <c r="M28" s="5">
        <f>LEVEL!M28</f>
        <v/>
      </c>
      <c r="N28" s="5">
        <f>100*LN(LEVEL!N28)</f>
        <v/>
      </c>
      <c r="O28" s="5">
        <f>100*LN(LEVEL!O28)</f>
        <v/>
      </c>
      <c r="P28" s="6">
        <f>IF(AND(YEAR($A28)=2020,MONTH($A28)=3),1,0)</f>
        <v/>
      </c>
      <c r="Q28" s="6">
        <f>IF(AND(YEAR($A28)=2020,MONTH($A28)=4),1,0)</f>
        <v/>
      </c>
      <c r="R28" s="6">
        <f>IF(AND(YEAR($A28)=2020,MONTH($A28)=5),1,0)</f>
        <v/>
      </c>
      <c r="S28" s="6">
        <f>IF(AND(YEAR($A28)=2020,MONTH($A28)=6),1,0)</f>
        <v/>
      </c>
    </row>
    <row r="29">
      <c r="A29" s="3" t="n">
        <v>37347</v>
      </c>
      <c r="B29" s="4" t="inlineStr">
        <is>
          <t>2002m4</t>
        </is>
      </c>
      <c r="C29" s="5">
        <f>100*LN(LEVEL!C29)</f>
        <v/>
      </c>
      <c r="D29" s="5">
        <f>100*LN(LEVEL!D29)</f>
        <v/>
      </c>
      <c r="E29" s="5">
        <f>100*LN(LEVEL!E29)</f>
        <v/>
      </c>
      <c r="F29" s="5">
        <f>LEVEL!F29</f>
        <v/>
      </c>
      <c r="G29" s="5">
        <f>LEVEL!G29</f>
        <v/>
      </c>
      <c r="H29" s="5">
        <f>100*LN(LEVEL!H29)</f>
        <v/>
      </c>
      <c r="I29" s="5">
        <f>100*LN(LEVEL!I29)</f>
        <v/>
      </c>
      <c r="J29" s="5">
        <f>100*LN(LEVEL!J29)</f>
        <v/>
      </c>
      <c r="K29" s="5">
        <f>100*LN(LEVEL!K29)</f>
        <v/>
      </c>
      <c r="L29" s="5">
        <f>LEVEL!L29</f>
        <v/>
      </c>
      <c r="M29" s="5">
        <f>LEVEL!M29</f>
        <v/>
      </c>
      <c r="N29" s="5">
        <f>100*LN(LEVEL!N29)</f>
        <v/>
      </c>
      <c r="O29" s="5">
        <f>100*LN(LEVEL!O29)</f>
        <v/>
      </c>
      <c r="P29" s="6">
        <f>IF(AND(YEAR($A29)=2020,MONTH($A29)=3),1,0)</f>
        <v/>
      </c>
      <c r="Q29" s="6">
        <f>IF(AND(YEAR($A29)=2020,MONTH($A29)=4),1,0)</f>
        <v/>
      </c>
      <c r="R29" s="6">
        <f>IF(AND(YEAR($A29)=2020,MONTH($A29)=5),1,0)</f>
        <v/>
      </c>
      <c r="S29" s="6">
        <f>IF(AND(YEAR($A29)=2020,MONTH($A29)=6),1,0)</f>
        <v/>
      </c>
    </row>
    <row r="30">
      <c r="A30" s="3" t="n">
        <v>37377</v>
      </c>
      <c r="B30" s="4" t="inlineStr">
        <is>
          <t>2002m5</t>
        </is>
      </c>
      <c r="C30" s="5">
        <f>100*LN(LEVEL!C30)</f>
        <v/>
      </c>
      <c r="D30" s="5">
        <f>100*LN(LEVEL!D30)</f>
        <v/>
      </c>
      <c r="E30" s="5">
        <f>100*LN(LEVEL!E30)</f>
        <v/>
      </c>
      <c r="F30" s="5">
        <f>LEVEL!F30</f>
        <v/>
      </c>
      <c r="G30" s="5">
        <f>LEVEL!G30</f>
        <v/>
      </c>
      <c r="H30" s="5">
        <f>100*LN(LEVEL!H30)</f>
        <v/>
      </c>
      <c r="I30" s="5">
        <f>100*LN(LEVEL!I30)</f>
        <v/>
      </c>
      <c r="J30" s="5">
        <f>100*LN(LEVEL!J30)</f>
        <v/>
      </c>
      <c r="K30" s="5">
        <f>100*LN(LEVEL!K30)</f>
        <v/>
      </c>
      <c r="L30" s="5">
        <f>LEVEL!L30</f>
        <v/>
      </c>
      <c r="M30" s="5">
        <f>LEVEL!M30</f>
        <v/>
      </c>
      <c r="N30" s="5">
        <f>100*LN(LEVEL!N30)</f>
        <v/>
      </c>
      <c r="O30" s="5">
        <f>100*LN(LEVEL!O30)</f>
        <v/>
      </c>
      <c r="P30" s="6">
        <f>IF(AND(YEAR($A30)=2020,MONTH($A30)=3),1,0)</f>
        <v/>
      </c>
      <c r="Q30" s="6">
        <f>IF(AND(YEAR($A30)=2020,MONTH($A30)=4),1,0)</f>
        <v/>
      </c>
      <c r="R30" s="6">
        <f>IF(AND(YEAR($A30)=2020,MONTH($A30)=5),1,0)</f>
        <v/>
      </c>
      <c r="S30" s="6">
        <f>IF(AND(YEAR($A30)=2020,MONTH($A30)=6),1,0)</f>
        <v/>
      </c>
    </row>
    <row r="31">
      <c r="A31" s="3" t="n">
        <v>37408</v>
      </c>
      <c r="B31" s="4" t="inlineStr">
        <is>
          <t>2002m6</t>
        </is>
      </c>
      <c r="C31" s="5">
        <f>100*LN(LEVEL!C31)</f>
        <v/>
      </c>
      <c r="D31" s="5">
        <f>100*LN(LEVEL!D31)</f>
        <v/>
      </c>
      <c r="E31" s="5">
        <f>100*LN(LEVEL!E31)</f>
        <v/>
      </c>
      <c r="F31" s="5">
        <f>LEVEL!F31</f>
        <v/>
      </c>
      <c r="G31" s="5">
        <f>LEVEL!G31</f>
        <v/>
      </c>
      <c r="H31" s="5">
        <f>100*LN(LEVEL!H31)</f>
        <v/>
      </c>
      <c r="I31" s="5">
        <f>100*LN(LEVEL!I31)</f>
        <v/>
      </c>
      <c r="J31" s="5">
        <f>100*LN(LEVEL!J31)</f>
        <v/>
      </c>
      <c r="K31" s="5">
        <f>100*LN(LEVEL!K31)</f>
        <v/>
      </c>
      <c r="L31" s="5">
        <f>LEVEL!L31</f>
        <v/>
      </c>
      <c r="M31" s="5">
        <f>LEVEL!M31</f>
        <v/>
      </c>
      <c r="N31" s="5">
        <f>100*LN(LEVEL!N31)</f>
        <v/>
      </c>
      <c r="O31" s="5">
        <f>100*LN(LEVEL!O31)</f>
        <v/>
      </c>
      <c r="P31" s="6">
        <f>IF(AND(YEAR($A31)=2020,MONTH($A31)=3),1,0)</f>
        <v/>
      </c>
      <c r="Q31" s="6">
        <f>IF(AND(YEAR($A31)=2020,MONTH($A31)=4),1,0)</f>
        <v/>
      </c>
      <c r="R31" s="6">
        <f>IF(AND(YEAR($A31)=2020,MONTH($A31)=5),1,0)</f>
        <v/>
      </c>
      <c r="S31" s="6">
        <f>IF(AND(YEAR($A31)=2020,MONTH($A31)=6),1,0)</f>
        <v/>
      </c>
    </row>
    <row r="32">
      <c r="A32" s="3" t="n">
        <v>37438</v>
      </c>
      <c r="B32" s="4" t="inlineStr">
        <is>
          <t>2002m7</t>
        </is>
      </c>
      <c r="C32" s="5">
        <f>100*LN(LEVEL!C32)</f>
        <v/>
      </c>
      <c r="D32" s="5">
        <f>100*LN(LEVEL!D32)</f>
        <v/>
      </c>
      <c r="E32" s="5">
        <f>100*LN(LEVEL!E32)</f>
        <v/>
      </c>
      <c r="F32" s="5">
        <f>LEVEL!F32</f>
        <v/>
      </c>
      <c r="G32" s="5">
        <f>LEVEL!G32</f>
        <v/>
      </c>
      <c r="H32" s="5">
        <f>100*LN(LEVEL!H32)</f>
        <v/>
      </c>
      <c r="I32" s="5">
        <f>100*LN(LEVEL!I32)</f>
        <v/>
      </c>
      <c r="J32" s="5">
        <f>100*LN(LEVEL!J32)</f>
        <v/>
      </c>
      <c r="K32" s="5">
        <f>100*LN(LEVEL!K32)</f>
        <v/>
      </c>
      <c r="L32" s="5">
        <f>LEVEL!L32</f>
        <v/>
      </c>
      <c r="M32" s="5">
        <f>LEVEL!M32</f>
        <v/>
      </c>
      <c r="N32" s="5">
        <f>100*LN(LEVEL!N32)</f>
        <v/>
      </c>
      <c r="O32" s="5">
        <f>100*LN(LEVEL!O32)</f>
        <v/>
      </c>
      <c r="P32" s="6">
        <f>IF(AND(YEAR($A32)=2020,MONTH($A32)=3),1,0)</f>
        <v/>
      </c>
      <c r="Q32" s="6">
        <f>IF(AND(YEAR($A32)=2020,MONTH($A32)=4),1,0)</f>
        <v/>
      </c>
      <c r="R32" s="6">
        <f>IF(AND(YEAR($A32)=2020,MONTH($A32)=5),1,0)</f>
        <v/>
      </c>
      <c r="S32" s="6">
        <f>IF(AND(YEAR($A32)=2020,MONTH($A32)=6),1,0)</f>
        <v/>
      </c>
    </row>
    <row r="33">
      <c r="A33" s="3" t="n">
        <v>37469</v>
      </c>
      <c r="B33" s="4" t="inlineStr">
        <is>
          <t>2002m8</t>
        </is>
      </c>
      <c r="C33" s="5">
        <f>100*LN(LEVEL!C33)</f>
        <v/>
      </c>
      <c r="D33" s="5">
        <f>100*LN(LEVEL!D33)</f>
        <v/>
      </c>
      <c r="E33" s="5">
        <f>100*LN(LEVEL!E33)</f>
        <v/>
      </c>
      <c r="F33" s="5">
        <f>LEVEL!F33</f>
        <v/>
      </c>
      <c r="G33" s="5">
        <f>LEVEL!G33</f>
        <v/>
      </c>
      <c r="H33" s="5">
        <f>100*LN(LEVEL!H33)</f>
        <v/>
      </c>
      <c r="I33" s="5">
        <f>100*LN(LEVEL!I33)</f>
        <v/>
      </c>
      <c r="J33" s="5">
        <f>100*LN(LEVEL!J33)</f>
        <v/>
      </c>
      <c r="K33" s="5">
        <f>100*LN(LEVEL!K33)</f>
        <v/>
      </c>
      <c r="L33" s="5">
        <f>LEVEL!L33</f>
        <v/>
      </c>
      <c r="M33" s="5">
        <f>LEVEL!M33</f>
        <v/>
      </c>
      <c r="N33" s="5">
        <f>100*LN(LEVEL!N33)</f>
        <v/>
      </c>
      <c r="O33" s="5">
        <f>100*LN(LEVEL!O33)</f>
        <v/>
      </c>
      <c r="P33" s="6">
        <f>IF(AND(YEAR($A33)=2020,MONTH($A33)=3),1,0)</f>
        <v/>
      </c>
      <c r="Q33" s="6">
        <f>IF(AND(YEAR($A33)=2020,MONTH($A33)=4),1,0)</f>
        <v/>
      </c>
      <c r="R33" s="6">
        <f>IF(AND(YEAR($A33)=2020,MONTH($A33)=5),1,0)</f>
        <v/>
      </c>
      <c r="S33" s="6">
        <f>IF(AND(YEAR($A33)=2020,MONTH($A33)=6),1,0)</f>
        <v/>
      </c>
    </row>
    <row r="34">
      <c r="A34" s="3" t="n">
        <v>37500</v>
      </c>
      <c r="B34" s="4" t="inlineStr">
        <is>
          <t>2002m9</t>
        </is>
      </c>
      <c r="C34" s="5">
        <f>100*LN(LEVEL!C34)</f>
        <v/>
      </c>
      <c r="D34" s="5">
        <f>100*LN(LEVEL!D34)</f>
        <v/>
      </c>
      <c r="E34" s="5">
        <f>100*LN(LEVEL!E34)</f>
        <v/>
      </c>
      <c r="F34" s="5">
        <f>LEVEL!F34</f>
        <v/>
      </c>
      <c r="G34" s="5">
        <f>LEVEL!G34</f>
        <v/>
      </c>
      <c r="H34" s="5">
        <f>100*LN(LEVEL!H34)</f>
        <v/>
      </c>
      <c r="I34" s="5">
        <f>100*LN(LEVEL!I34)</f>
        <v/>
      </c>
      <c r="J34" s="5">
        <f>100*LN(LEVEL!J34)</f>
        <v/>
      </c>
      <c r="K34" s="5">
        <f>100*LN(LEVEL!K34)</f>
        <v/>
      </c>
      <c r="L34" s="5">
        <f>LEVEL!L34</f>
        <v/>
      </c>
      <c r="M34" s="5">
        <f>LEVEL!M34</f>
        <v/>
      </c>
      <c r="N34" s="5">
        <f>100*LN(LEVEL!N34)</f>
        <v/>
      </c>
      <c r="O34" s="5">
        <f>100*LN(LEVEL!O34)</f>
        <v/>
      </c>
      <c r="P34" s="6">
        <f>IF(AND(YEAR($A34)=2020,MONTH($A34)=3),1,0)</f>
        <v/>
      </c>
      <c r="Q34" s="6">
        <f>IF(AND(YEAR($A34)=2020,MONTH($A34)=4),1,0)</f>
        <v/>
      </c>
      <c r="R34" s="6">
        <f>IF(AND(YEAR($A34)=2020,MONTH($A34)=5),1,0)</f>
        <v/>
      </c>
      <c r="S34" s="6">
        <f>IF(AND(YEAR($A34)=2020,MONTH($A34)=6),1,0)</f>
        <v/>
      </c>
    </row>
    <row r="35">
      <c r="A35" s="3" t="n">
        <v>37530</v>
      </c>
      <c r="B35" s="4" t="inlineStr">
        <is>
          <t>2002m10</t>
        </is>
      </c>
      <c r="C35" s="5">
        <f>100*LN(LEVEL!C35)</f>
        <v/>
      </c>
      <c r="D35" s="5">
        <f>100*LN(LEVEL!D35)</f>
        <v/>
      </c>
      <c r="E35" s="5">
        <f>100*LN(LEVEL!E35)</f>
        <v/>
      </c>
      <c r="F35" s="5">
        <f>LEVEL!F35</f>
        <v/>
      </c>
      <c r="G35" s="5">
        <f>LEVEL!G35</f>
        <v/>
      </c>
      <c r="H35" s="5">
        <f>100*LN(LEVEL!H35)</f>
        <v/>
      </c>
      <c r="I35" s="5">
        <f>100*LN(LEVEL!I35)</f>
        <v/>
      </c>
      <c r="J35" s="5">
        <f>100*LN(LEVEL!J35)</f>
        <v/>
      </c>
      <c r="K35" s="5">
        <f>100*LN(LEVEL!K35)</f>
        <v/>
      </c>
      <c r="L35" s="5">
        <f>LEVEL!L35</f>
        <v/>
      </c>
      <c r="M35" s="5">
        <f>LEVEL!M35</f>
        <v/>
      </c>
      <c r="N35" s="5">
        <f>100*LN(LEVEL!N35)</f>
        <v/>
      </c>
      <c r="O35" s="5">
        <f>100*LN(LEVEL!O35)</f>
        <v/>
      </c>
      <c r="P35" s="6">
        <f>IF(AND(YEAR($A35)=2020,MONTH($A35)=3),1,0)</f>
        <v/>
      </c>
      <c r="Q35" s="6">
        <f>IF(AND(YEAR($A35)=2020,MONTH($A35)=4),1,0)</f>
        <v/>
      </c>
      <c r="R35" s="6">
        <f>IF(AND(YEAR($A35)=2020,MONTH($A35)=5),1,0)</f>
        <v/>
      </c>
      <c r="S35" s="6">
        <f>IF(AND(YEAR($A35)=2020,MONTH($A35)=6),1,0)</f>
        <v/>
      </c>
    </row>
    <row r="36">
      <c r="A36" s="3" t="n">
        <v>37561</v>
      </c>
      <c r="B36" s="4" t="inlineStr">
        <is>
          <t>2002m11</t>
        </is>
      </c>
      <c r="C36" s="5">
        <f>100*LN(LEVEL!C36)</f>
        <v/>
      </c>
      <c r="D36" s="5">
        <f>100*LN(LEVEL!D36)</f>
        <v/>
      </c>
      <c r="E36" s="5">
        <f>100*LN(LEVEL!E36)</f>
        <v/>
      </c>
      <c r="F36" s="5">
        <f>LEVEL!F36</f>
        <v/>
      </c>
      <c r="G36" s="5">
        <f>LEVEL!G36</f>
        <v/>
      </c>
      <c r="H36" s="5">
        <f>100*LN(LEVEL!H36)</f>
        <v/>
      </c>
      <c r="I36" s="5">
        <f>100*LN(LEVEL!I36)</f>
        <v/>
      </c>
      <c r="J36" s="5">
        <f>100*LN(LEVEL!J36)</f>
        <v/>
      </c>
      <c r="K36" s="5">
        <f>100*LN(LEVEL!K36)</f>
        <v/>
      </c>
      <c r="L36" s="5">
        <f>LEVEL!L36</f>
        <v/>
      </c>
      <c r="M36" s="5">
        <f>LEVEL!M36</f>
        <v/>
      </c>
      <c r="N36" s="5">
        <f>100*LN(LEVEL!N36)</f>
        <v/>
      </c>
      <c r="O36" s="5">
        <f>100*LN(LEVEL!O36)</f>
        <v/>
      </c>
      <c r="P36" s="6">
        <f>IF(AND(YEAR($A36)=2020,MONTH($A36)=3),1,0)</f>
        <v/>
      </c>
      <c r="Q36" s="6">
        <f>IF(AND(YEAR($A36)=2020,MONTH($A36)=4),1,0)</f>
        <v/>
      </c>
      <c r="R36" s="6">
        <f>IF(AND(YEAR($A36)=2020,MONTH($A36)=5),1,0)</f>
        <v/>
      </c>
      <c r="S36" s="6">
        <f>IF(AND(YEAR($A36)=2020,MONTH($A36)=6),1,0)</f>
        <v/>
      </c>
    </row>
    <row r="37">
      <c r="A37" s="3" t="n">
        <v>37591</v>
      </c>
      <c r="B37" s="4" t="inlineStr">
        <is>
          <t>2002m12</t>
        </is>
      </c>
      <c r="C37" s="5">
        <f>100*LN(LEVEL!C37)</f>
        <v/>
      </c>
      <c r="D37" s="5">
        <f>100*LN(LEVEL!D37)</f>
        <v/>
      </c>
      <c r="E37" s="5">
        <f>100*LN(LEVEL!E37)</f>
        <v/>
      </c>
      <c r="F37" s="5">
        <f>LEVEL!F37</f>
        <v/>
      </c>
      <c r="G37" s="5">
        <f>LEVEL!G37</f>
        <v/>
      </c>
      <c r="H37" s="5">
        <f>100*LN(LEVEL!H37)</f>
        <v/>
      </c>
      <c r="I37" s="5">
        <f>100*LN(LEVEL!I37)</f>
        <v/>
      </c>
      <c r="J37" s="5">
        <f>100*LN(LEVEL!J37)</f>
        <v/>
      </c>
      <c r="K37" s="5">
        <f>100*LN(LEVEL!K37)</f>
        <v/>
      </c>
      <c r="L37" s="5">
        <f>LEVEL!L37</f>
        <v/>
      </c>
      <c r="M37" s="5">
        <f>LEVEL!M37</f>
        <v/>
      </c>
      <c r="N37" s="5">
        <f>100*LN(LEVEL!N37)</f>
        <v/>
      </c>
      <c r="O37" s="5">
        <f>100*LN(LEVEL!O37)</f>
        <v/>
      </c>
      <c r="P37" s="6">
        <f>IF(AND(YEAR($A37)=2020,MONTH($A37)=3),1,0)</f>
        <v/>
      </c>
      <c r="Q37" s="6">
        <f>IF(AND(YEAR($A37)=2020,MONTH($A37)=4),1,0)</f>
        <v/>
      </c>
      <c r="R37" s="6">
        <f>IF(AND(YEAR($A37)=2020,MONTH($A37)=5),1,0)</f>
        <v/>
      </c>
      <c r="S37" s="6">
        <f>IF(AND(YEAR($A37)=2020,MONTH($A37)=6),1,0)</f>
        <v/>
      </c>
    </row>
    <row r="38">
      <c r="A38" s="3" t="n">
        <v>37622</v>
      </c>
      <c r="B38" s="4" t="inlineStr">
        <is>
          <t>2003m1</t>
        </is>
      </c>
      <c r="C38" s="5">
        <f>100*LN(LEVEL!C38)</f>
        <v/>
      </c>
      <c r="D38" s="5">
        <f>100*LN(LEVEL!D38)</f>
        <v/>
      </c>
      <c r="E38" s="5">
        <f>100*LN(LEVEL!E38)</f>
        <v/>
      </c>
      <c r="F38" s="5">
        <f>LEVEL!F38</f>
        <v/>
      </c>
      <c r="G38" s="5">
        <f>LEVEL!G38</f>
        <v/>
      </c>
      <c r="H38" s="5">
        <f>100*LN(LEVEL!H38)</f>
        <v/>
      </c>
      <c r="I38" s="5">
        <f>100*LN(LEVEL!I38)</f>
        <v/>
      </c>
      <c r="J38" s="5">
        <f>100*LN(LEVEL!J38)</f>
        <v/>
      </c>
      <c r="K38" s="5">
        <f>100*LN(LEVEL!K38)</f>
        <v/>
      </c>
      <c r="L38" s="5">
        <f>LEVEL!L38</f>
        <v/>
      </c>
      <c r="M38" s="5">
        <f>LEVEL!M38</f>
        <v/>
      </c>
      <c r="N38" s="5">
        <f>100*LN(LEVEL!N38)</f>
        <v/>
      </c>
      <c r="O38" s="5">
        <f>100*LN(LEVEL!O38)</f>
        <v/>
      </c>
      <c r="P38" s="6">
        <f>IF(AND(YEAR($A38)=2020,MONTH($A38)=3),1,0)</f>
        <v/>
      </c>
      <c r="Q38" s="6">
        <f>IF(AND(YEAR($A38)=2020,MONTH($A38)=4),1,0)</f>
        <v/>
      </c>
      <c r="R38" s="6">
        <f>IF(AND(YEAR($A38)=2020,MONTH($A38)=5),1,0)</f>
        <v/>
      </c>
      <c r="S38" s="6">
        <f>IF(AND(YEAR($A38)=2020,MONTH($A38)=6),1,0)</f>
        <v/>
      </c>
    </row>
    <row r="39">
      <c r="A39" s="3" t="n">
        <v>37653</v>
      </c>
      <c r="B39" s="4" t="inlineStr">
        <is>
          <t>2003m2</t>
        </is>
      </c>
      <c r="C39" s="5">
        <f>100*LN(LEVEL!C39)</f>
        <v/>
      </c>
      <c r="D39" s="5">
        <f>100*LN(LEVEL!D39)</f>
        <v/>
      </c>
      <c r="E39" s="5">
        <f>100*LN(LEVEL!E39)</f>
        <v/>
      </c>
      <c r="F39" s="5">
        <f>LEVEL!F39</f>
        <v/>
      </c>
      <c r="G39" s="5">
        <f>LEVEL!G39</f>
        <v/>
      </c>
      <c r="H39" s="5">
        <f>100*LN(LEVEL!H39)</f>
        <v/>
      </c>
      <c r="I39" s="5">
        <f>100*LN(LEVEL!I39)</f>
        <v/>
      </c>
      <c r="J39" s="5">
        <f>100*LN(LEVEL!J39)</f>
        <v/>
      </c>
      <c r="K39" s="5">
        <f>100*LN(LEVEL!K39)</f>
        <v/>
      </c>
      <c r="L39" s="5">
        <f>LEVEL!L39</f>
        <v/>
      </c>
      <c r="M39" s="5">
        <f>LEVEL!M39</f>
        <v/>
      </c>
      <c r="N39" s="5">
        <f>100*LN(LEVEL!N39)</f>
        <v/>
      </c>
      <c r="O39" s="5">
        <f>100*LN(LEVEL!O39)</f>
        <v/>
      </c>
      <c r="P39" s="6">
        <f>IF(AND(YEAR($A39)=2020,MONTH($A39)=3),1,0)</f>
        <v/>
      </c>
      <c r="Q39" s="6">
        <f>IF(AND(YEAR($A39)=2020,MONTH($A39)=4),1,0)</f>
        <v/>
      </c>
      <c r="R39" s="6">
        <f>IF(AND(YEAR($A39)=2020,MONTH($A39)=5),1,0)</f>
        <v/>
      </c>
      <c r="S39" s="6">
        <f>IF(AND(YEAR($A39)=2020,MONTH($A39)=6),1,0)</f>
        <v/>
      </c>
    </row>
    <row r="40">
      <c r="A40" s="3" t="n">
        <v>37681</v>
      </c>
      <c r="B40" s="4" t="inlineStr">
        <is>
          <t>2003m3</t>
        </is>
      </c>
      <c r="C40" s="5">
        <f>100*LN(LEVEL!C40)</f>
        <v/>
      </c>
      <c r="D40" s="5">
        <f>100*LN(LEVEL!D40)</f>
        <v/>
      </c>
      <c r="E40" s="5">
        <f>100*LN(LEVEL!E40)</f>
        <v/>
      </c>
      <c r="F40" s="5">
        <f>LEVEL!F40</f>
        <v/>
      </c>
      <c r="G40" s="5">
        <f>LEVEL!G40</f>
        <v/>
      </c>
      <c r="H40" s="5">
        <f>100*LN(LEVEL!H40)</f>
        <v/>
      </c>
      <c r="I40" s="5">
        <f>100*LN(LEVEL!I40)</f>
        <v/>
      </c>
      <c r="J40" s="5">
        <f>100*LN(LEVEL!J40)</f>
        <v/>
      </c>
      <c r="K40" s="5">
        <f>100*LN(LEVEL!K40)</f>
        <v/>
      </c>
      <c r="L40" s="5">
        <f>LEVEL!L40</f>
        <v/>
      </c>
      <c r="M40" s="5">
        <f>LEVEL!M40</f>
        <v/>
      </c>
      <c r="N40" s="5">
        <f>100*LN(LEVEL!N40)</f>
        <v/>
      </c>
      <c r="O40" s="5">
        <f>100*LN(LEVEL!O40)</f>
        <v/>
      </c>
      <c r="P40" s="6">
        <f>IF(AND(YEAR($A40)=2020,MONTH($A40)=3),1,0)</f>
        <v/>
      </c>
      <c r="Q40" s="6">
        <f>IF(AND(YEAR($A40)=2020,MONTH($A40)=4),1,0)</f>
        <v/>
      </c>
      <c r="R40" s="6">
        <f>IF(AND(YEAR($A40)=2020,MONTH($A40)=5),1,0)</f>
        <v/>
      </c>
      <c r="S40" s="6">
        <f>IF(AND(YEAR($A40)=2020,MONTH($A40)=6),1,0)</f>
        <v/>
      </c>
    </row>
    <row r="41">
      <c r="A41" s="3" t="n">
        <v>37712</v>
      </c>
      <c r="B41" s="4" t="inlineStr">
        <is>
          <t>2003m4</t>
        </is>
      </c>
      <c r="C41" s="5">
        <f>100*LN(LEVEL!C41)</f>
        <v/>
      </c>
      <c r="D41" s="5">
        <f>100*LN(LEVEL!D41)</f>
        <v/>
      </c>
      <c r="E41" s="5">
        <f>100*LN(LEVEL!E41)</f>
        <v/>
      </c>
      <c r="F41" s="5">
        <f>LEVEL!F41</f>
        <v/>
      </c>
      <c r="G41" s="5">
        <f>LEVEL!G41</f>
        <v/>
      </c>
      <c r="H41" s="5">
        <f>100*LN(LEVEL!H41)</f>
        <v/>
      </c>
      <c r="I41" s="5">
        <f>100*LN(LEVEL!I41)</f>
        <v/>
      </c>
      <c r="J41" s="5">
        <f>100*LN(LEVEL!J41)</f>
        <v/>
      </c>
      <c r="K41" s="5">
        <f>100*LN(LEVEL!K41)</f>
        <v/>
      </c>
      <c r="L41" s="5">
        <f>LEVEL!L41</f>
        <v/>
      </c>
      <c r="M41" s="5">
        <f>LEVEL!M41</f>
        <v/>
      </c>
      <c r="N41" s="5">
        <f>100*LN(LEVEL!N41)</f>
        <v/>
      </c>
      <c r="O41" s="5">
        <f>100*LN(LEVEL!O41)</f>
        <v/>
      </c>
      <c r="P41" s="6">
        <f>IF(AND(YEAR($A41)=2020,MONTH($A41)=3),1,0)</f>
        <v/>
      </c>
      <c r="Q41" s="6">
        <f>IF(AND(YEAR($A41)=2020,MONTH($A41)=4),1,0)</f>
        <v/>
      </c>
      <c r="R41" s="6">
        <f>IF(AND(YEAR($A41)=2020,MONTH($A41)=5),1,0)</f>
        <v/>
      </c>
      <c r="S41" s="6">
        <f>IF(AND(YEAR($A41)=2020,MONTH($A41)=6),1,0)</f>
        <v/>
      </c>
    </row>
    <row r="42">
      <c r="A42" s="3" t="n">
        <v>37742</v>
      </c>
      <c r="B42" s="4" t="inlineStr">
        <is>
          <t>2003m5</t>
        </is>
      </c>
      <c r="C42" s="5">
        <f>100*LN(LEVEL!C42)</f>
        <v/>
      </c>
      <c r="D42" s="5">
        <f>100*LN(LEVEL!D42)</f>
        <v/>
      </c>
      <c r="E42" s="5">
        <f>100*LN(LEVEL!E42)</f>
        <v/>
      </c>
      <c r="F42" s="5">
        <f>LEVEL!F42</f>
        <v/>
      </c>
      <c r="G42" s="5">
        <f>LEVEL!G42</f>
        <v/>
      </c>
      <c r="H42" s="5">
        <f>100*LN(LEVEL!H42)</f>
        <v/>
      </c>
      <c r="I42" s="5">
        <f>100*LN(LEVEL!I42)</f>
        <v/>
      </c>
      <c r="J42" s="5">
        <f>100*LN(LEVEL!J42)</f>
        <v/>
      </c>
      <c r="K42" s="5">
        <f>100*LN(LEVEL!K42)</f>
        <v/>
      </c>
      <c r="L42" s="5">
        <f>LEVEL!L42</f>
        <v/>
      </c>
      <c r="M42" s="5">
        <f>LEVEL!M42</f>
        <v/>
      </c>
      <c r="N42" s="5">
        <f>100*LN(LEVEL!N42)</f>
        <v/>
      </c>
      <c r="O42" s="5">
        <f>100*LN(LEVEL!O42)</f>
        <v/>
      </c>
      <c r="P42" s="6">
        <f>IF(AND(YEAR($A42)=2020,MONTH($A42)=3),1,0)</f>
        <v/>
      </c>
      <c r="Q42" s="6">
        <f>IF(AND(YEAR($A42)=2020,MONTH($A42)=4),1,0)</f>
        <v/>
      </c>
      <c r="R42" s="6">
        <f>IF(AND(YEAR($A42)=2020,MONTH($A42)=5),1,0)</f>
        <v/>
      </c>
      <c r="S42" s="6">
        <f>IF(AND(YEAR($A42)=2020,MONTH($A42)=6),1,0)</f>
        <v/>
      </c>
    </row>
    <row r="43">
      <c r="A43" s="3" t="n">
        <v>37773</v>
      </c>
      <c r="B43" s="4" t="inlineStr">
        <is>
          <t>2003m6</t>
        </is>
      </c>
      <c r="C43" s="5">
        <f>100*LN(LEVEL!C43)</f>
        <v/>
      </c>
      <c r="D43" s="5">
        <f>100*LN(LEVEL!D43)</f>
        <v/>
      </c>
      <c r="E43" s="5">
        <f>100*LN(LEVEL!E43)</f>
        <v/>
      </c>
      <c r="F43" s="5">
        <f>LEVEL!F43</f>
        <v/>
      </c>
      <c r="G43" s="5">
        <f>LEVEL!G43</f>
        <v/>
      </c>
      <c r="H43" s="5">
        <f>100*LN(LEVEL!H43)</f>
        <v/>
      </c>
      <c r="I43" s="5">
        <f>100*LN(LEVEL!I43)</f>
        <v/>
      </c>
      <c r="J43" s="5">
        <f>100*LN(LEVEL!J43)</f>
        <v/>
      </c>
      <c r="K43" s="5">
        <f>100*LN(LEVEL!K43)</f>
        <v/>
      </c>
      <c r="L43" s="5">
        <f>LEVEL!L43</f>
        <v/>
      </c>
      <c r="M43" s="5">
        <f>LEVEL!M43</f>
        <v/>
      </c>
      <c r="N43" s="5">
        <f>100*LN(LEVEL!N43)</f>
        <v/>
      </c>
      <c r="O43" s="5">
        <f>100*LN(LEVEL!O43)</f>
        <v/>
      </c>
      <c r="P43" s="6">
        <f>IF(AND(YEAR($A43)=2020,MONTH($A43)=3),1,0)</f>
        <v/>
      </c>
      <c r="Q43" s="6">
        <f>IF(AND(YEAR($A43)=2020,MONTH($A43)=4),1,0)</f>
        <v/>
      </c>
      <c r="R43" s="6">
        <f>IF(AND(YEAR($A43)=2020,MONTH($A43)=5),1,0)</f>
        <v/>
      </c>
      <c r="S43" s="6">
        <f>IF(AND(YEAR($A43)=2020,MONTH($A43)=6),1,0)</f>
        <v/>
      </c>
    </row>
    <row r="44">
      <c r="A44" s="3" t="n">
        <v>37803</v>
      </c>
      <c r="B44" s="4" t="inlineStr">
        <is>
          <t>2003m7</t>
        </is>
      </c>
      <c r="C44" s="5">
        <f>100*LN(LEVEL!C44)</f>
        <v/>
      </c>
      <c r="D44" s="5">
        <f>100*LN(LEVEL!D44)</f>
        <v/>
      </c>
      <c r="E44" s="5">
        <f>100*LN(LEVEL!E44)</f>
        <v/>
      </c>
      <c r="F44" s="5">
        <f>LEVEL!F44</f>
        <v/>
      </c>
      <c r="G44" s="5">
        <f>LEVEL!G44</f>
        <v/>
      </c>
      <c r="H44" s="5">
        <f>100*LN(LEVEL!H44)</f>
        <v/>
      </c>
      <c r="I44" s="5">
        <f>100*LN(LEVEL!I44)</f>
        <v/>
      </c>
      <c r="J44" s="5">
        <f>100*LN(LEVEL!J44)</f>
        <v/>
      </c>
      <c r="K44" s="5">
        <f>100*LN(LEVEL!K44)</f>
        <v/>
      </c>
      <c r="L44" s="5">
        <f>LEVEL!L44</f>
        <v/>
      </c>
      <c r="M44" s="5">
        <f>LEVEL!M44</f>
        <v/>
      </c>
      <c r="N44" s="5">
        <f>100*LN(LEVEL!N44)</f>
        <v/>
      </c>
      <c r="O44" s="5">
        <f>100*LN(LEVEL!O44)</f>
        <v/>
      </c>
      <c r="P44" s="6">
        <f>IF(AND(YEAR($A44)=2020,MONTH($A44)=3),1,0)</f>
        <v/>
      </c>
      <c r="Q44" s="6">
        <f>IF(AND(YEAR($A44)=2020,MONTH($A44)=4),1,0)</f>
        <v/>
      </c>
      <c r="R44" s="6">
        <f>IF(AND(YEAR($A44)=2020,MONTH($A44)=5),1,0)</f>
        <v/>
      </c>
      <c r="S44" s="6">
        <f>IF(AND(YEAR($A44)=2020,MONTH($A44)=6),1,0)</f>
        <v/>
      </c>
    </row>
    <row r="45">
      <c r="A45" s="3" t="n">
        <v>37834</v>
      </c>
      <c r="B45" s="4" t="inlineStr">
        <is>
          <t>2003m8</t>
        </is>
      </c>
      <c r="C45" s="5">
        <f>100*LN(LEVEL!C45)</f>
        <v/>
      </c>
      <c r="D45" s="5">
        <f>100*LN(LEVEL!D45)</f>
        <v/>
      </c>
      <c r="E45" s="5">
        <f>100*LN(LEVEL!E45)</f>
        <v/>
      </c>
      <c r="F45" s="5">
        <f>LEVEL!F45</f>
        <v/>
      </c>
      <c r="G45" s="5">
        <f>LEVEL!G45</f>
        <v/>
      </c>
      <c r="H45" s="5">
        <f>100*LN(LEVEL!H45)</f>
        <v/>
      </c>
      <c r="I45" s="5">
        <f>100*LN(LEVEL!I45)</f>
        <v/>
      </c>
      <c r="J45" s="5">
        <f>100*LN(LEVEL!J45)</f>
        <v/>
      </c>
      <c r="K45" s="5">
        <f>100*LN(LEVEL!K45)</f>
        <v/>
      </c>
      <c r="L45" s="5">
        <f>LEVEL!L45</f>
        <v/>
      </c>
      <c r="M45" s="5">
        <f>LEVEL!M45</f>
        <v/>
      </c>
      <c r="N45" s="5">
        <f>100*LN(LEVEL!N45)</f>
        <v/>
      </c>
      <c r="O45" s="5">
        <f>100*LN(LEVEL!O45)</f>
        <v/>
      </c>
      <c r="P45" s="6">
        <f>IF(AND(YEAR($A45)=2020,MONTH($A45)=3),1,0)</f>
        <v/>
      </c>
      <c r="Q45" s="6">
        <f>IF(AND(YEAR($A45)=2020,MONTH($A45)=4),1,0)</f>
        <v/>
      </c>
      <c r="R45" s="6">
        <f>IF(AND(YEAR($A45)=2020,MONTH($A45)=5),1,0)</f>
        <v/>
      </c>
      <c r="S45" s="6">
        <f>IF(AND(YEAR($A45)=2020,MONTH($A45)=6),1,0)</f>
        <v/>
      </c>
    </row>
    <row r="46">
      <c r="A46" s="3" t="n">
        <v>37865</v>
      </c>
      <c r="B46" s="4" t="inlineStr">
        <is>
          <t>2003m9</t>
        </is>
      </c>
      <c r="C46" s="5">
        <f>100*LN(LEVEL!C46)</f>
        <v/>
      </c>
      <c r="D46" s="5">
        <f>100*LN(LEVEL!D46)</f>
        <v/>
      </c>
      <c r="E46" s="5">
        <f>100*LN(LEVEL!E46)</f>
        <v/>
      </c>
      <c r="F46" s="5">
        <f>LEVEL!F46</f>
        <v/>
      </c>
      <c r="G46" s="5">
        <f>LEVEL!G46</f>
        <v/>
      </c>
      <c r="H46" s="5">
        <f>100*LN(LEVEL!H46)</f>
        <v/>
      </c>
      <c r="I46" s="5">
        <f>100*LN(LEVEL!I46)</f>
        <v/>
      </c>
      <c r="J46" s="5">
        <f>100*LN(LEVEL!J46)</f>
        <v/>
      </c>
      <c r="K46" s="5">
        <f>100*LN(LEVEL!K46)</f>
        <v/>
      </c>
      <c r="L46" s="5">
        <f>LEVEL!L46</f>
        <v/>
      </c>
      <c r="M46" s="5">
        <f>LEVEL!M46</f>
        <v/>
      </c>
      <c r="N46" s="5">
        <f>100*LN(LEVEL!N46)</f>
        <v/>
      </c>
      <c r="O46" s="5">
        <f>100*LN(LEVEL!O46)</f>
        <v/>
      </c>
      <c r="P46" s="6">
        <f>IF(AND(YEAR($A46)=2020,MONTH($A46)=3),1,0)</f>
        <v/>
      </c>
      <c r="Q46" s="6">
        <f>IF(AND(YEAR($A46)=2020,MONTH($A46)=4),1,0)</f>
        <v/>
      </c>
      <c r="R46" s="6">
        <f>IF(AND(YEAR($A46)=2020,MONTH($A46)=5),1,0)</f>
        <v/>
      </c>
      <c r="S46" s="6">
        <f>IF(AND(YEAR($A46)=2020,MONTH($A46)=6),1,0)</f>
        <v/>
      </c>
    </row>
    <row r="47">
      <c r="A47" s="3" t="n">
        <v>37895</v>
      </c>
      <c r="B47" s="4" t="inlineStr">
        <is>
          <t>2003m10</t>
        </is>
      </c>
      <c r="C47" s="5">
        <f>100*LN(LEVEL!C47)</f>
        <v/>
      </c>
      <c r="D47" s="5">
        <f>100*LN(LEVEL!D47)</f>
        <v/>
      </c>
      <c r="E47" s="5">
        <f>100*LN(LEVEL!E47)</f>
        <v/>
      </c>
      <c r="F47" s="5">
        <f>LEVEL!F47</f>
        <v/>
      </c>
      <c r="G47" s="5">
        <f>LEVEL!G47</f>
        <v/>
      </c>
      <c r="H47" s="5">
        <f>100*LN(LEVEL!H47)</f>
        <v/>
      </c>
      <c r="I47" s="5">
        <f>100*LN(LEVEL!I47)</f>
        <v/>
      </c>
      <c r="J47" s="5">
        <f>100*LN(LEVEL!J47)</f>
        <v/>
      </c>
      <c r="K47" s="5">
        <f>100*LN(LEVEL!K47)</f>
        <v/>
      </c>
      <c r="L47" s="5">
        <f>LEVEL!L47</f>
        <v/>
      </c>
      <c r="M47" s="5">
        <f>LEVEL!M47</f>
        <v/>
      </c>
      <c r="N47" s="5">
        <f>100*LN(LEVEL!N47)</f>
        <v/>
      </c>
      <c r="O47" s="5">
        <f>100*LN(LEVEL!O47)</f>
        <v/>
      </c>
      <c r="P47" s="6">
        <f>IF(AND(YEAR($A47)=2020,MONTH($A47)=3),1,0)</f>
        <v/>
      </c>
      <c r="Q47" s="6">
        <f>IF(AND(YEAR($A47)=2020,MONTH($A47)=4),1,0)</f>
        <v/>
      </c>
      <c r="R47" s="6">
        <f>IF(AND(YEAR($A47)=2020,MONTH($A47)=5),1,0)</f>
        <v/>
      </c>
      <c r="S47" s="6">
        <f>IF(AND(YEAR($A47)=2020,MONTH($A47)=6),1,0)</f>
        <v/>
      </c>
    </row>
    <row r="48">
      <c r="A48" s="3" t="n">
        <v>37926</v>
      </c>
      <c r="B48" s="4" t="inlineStr">
        <is>
          <t>2003m11</t>
        </is>
      </c>
      <c r="C48" s="5">
        <f>100*LN(LEVEL!C48)</f>
        <v/>
      </c>
      <c r="D48" s="5">
        <f>100*LN(LEVEL!D48)</f>
        <v/>
      </c>
      <c r="E48" s="5">
        <f>100*LN(LEVEL!E48)</f>
        <v/>
      </c>
      <c r="F48" s="5">
        <f>LEVEL!F48</f>
        <v/>
      </c>
      <c r="G48" s="5">
        <f>LEVEL!G48</f>
        <v/>
      </c>
      <c r="H48" s="5">
        <f>100*LN(LEVEL!H48)</f>
        <v/>
      </c>
      <c r="I48" s="5">
        <f>100*LN(LEVEL!I48)</f>
        <v/>
      </c>
      <c r="J48" s="5">
        <f>100*LN(LEVEL!J48)</f>
        <v/>
      </c>
      <c r="K48" s="5">
        <f>100*LN(LEVEL!K48)</f>
        <v/>
      </c>
      <c r="L48" s="5">
        <f>LEVEL!L48</f>
        <v/>
      </c>
      <c r="M48" s="5">
        <f>LEVEL!M48</f>
        <v/>
      </c>
      <c r="N48" s="5">
        <f>100*LN(LEVEL!N48)</f>
        <v/>
      </c>
      <c r="O48" s="5">
        <f>100*LN(LEVEL!O48)</f>
        <v/>
      </c>
      <c r="P48" s="6">
        <f>IF(AND(YEAR($A48)=2020,MONTH($A48)=3),1,0)</f>
        <v/>
      </c>
      <c r="Q48" s="6">
        <f>IF(AND(YEAR($A48)=2020,MONTH($A48)=4),1,0)</f>
        <v/>
      </c>
      <c r="R48" s="6">
        <f>IF(AND(YEAR($A48)=2020,MONTH($A48)=5),1,0)</f>
        <v/>
      </c>
      <c r="S48" s="6">
        <f>IF(AND(YEAR($A48)=2020,MONTH($A48)=6),1,0)</f>
        <v/>
      </c>
    </row>
    <row r="49">
      <c r="A49" s="3" t="n">
        <v>37956</v>
      </c>
      <c r="B49" s="4" t="inlineStr">
        <is>
          <t>2003m12</t>
        </is>
      </c>
      <c r="C49" s="5">
        <f>100*LN(LEVEL!C49)</f>
        <v/>
      </c>
      <c r="D49" s="5">
        <f>100*LN(LEVEL!D49)</f>
        <v/>
      </c>
      <c r="E49" s="5">
        <f>100*LN(LEVEL!E49)</f>
        <v/>
      </c>
      <c r="F49" s="5">
        <f>LEVEL!F49</f>
        <v/>
      </c>
      <c r="G49" s="5">
        <f>LEVEL!G49</f>
        <v/>
      </c>
      <c r="H49" s="5">
        <f>100*LN(LEVEL!H49)</f>
        <v/>
      </c>
      <c r="I49" s="5">
        <f>100*LN(LEVEL!I49)</f>
        <v/>
      </c>
      <c r="J49" s="5">
        <f>100*LN(LEVEL!J49)</f>
        <v/>
      </c>
      <c r="K49" s="5">
        <f>100*LN(LEVEL!K49)</f>
        <v/>
      </c>
      <c r="L49" s="5">
        <f>LEVEL!L49</f>
        <v/>
      </c>
      <c r="M49" s="5">
        <f>LEVEL!M49</f>
        <v/>
      </c>
      <c r="N49" s="5">
        <f>100*LN(LEVEL!N49)</f>
        <v/>
      </c>
      <c r="O49" s="5">
        <f>100*LN(LEVEL!O49)</f>
        <v/>
      </c>
      <c r="P49" s="6">
        <f>IF(AND(YEAR($A49)=2020,MONTH($A49)=3),1,0)</f>
        <v/>
      </c>
      <c r="Q49" s="6">
        <f>IF(AND(YEAR($A49)=2020,MONTH($A49)=4),1,0)</f>
        <v/>
      </c>
      <c r="R49" s="6">
        <f>IF(AND(YEAR($A49)=2020,MONTH($A49)=5),1,0)</f>
        <v/>
      </c>
      <c r="S49" s="6">
        <f>IF(AND(YEAR($A49)=2020,MONTH($A49)=6),1,0)</f>
        <v/>
      </c>
    </row>
    <row r="50">
      <c r="A50" s="3" t="n">
        <v>37987</v>
      </c>
      <c r="B50" s="4" t="inlineStr">
        <is>
          <t>2004m1</t>
        </is>
      </c>
      <c r="C50" s="5">
        <f>100*LN(LEVEL!C50)</f>
        <v/>
      </c>
      <c r="D50" s="5">
        <f>100*LN(LEVEL!D50)</f>
        <v/>
      </c>
      <c r="E50" s="5">
        <f>100*LN(LEVEL!E50)</f>
        <v/>
      </c>
      <c r="F50" s="5">
        <f>LEVEL!F50</f>
        <v/>
      </c>
      <c r="G50" s="5">
        <f>LEVEL!G50</f>
        <v/>
      </c>
      <c r="H50" s="5">
        <f>100*LN(LEVEL!H50)</f>
        <v/>
      </c>
      <c r="I50" s="5">
        <f>100*LN(LEVEL!I50)</f>
        <v/>
      </c>
      <c r="J50" s="5">
        <f>100*LN(LEVEL!J50)</f>
        <v/>
      </c>
      <c r="K50" s="5">
        <f>100*LN(LEVEL!K50)</f>
        <v/>
      </c>
      <c r="L50" s="5">
        <f>LEVEL!L50</f>
        <v/>
      </c>
      <c r="M50" s="5">
        <f>LEVEL!M50</f>
        <v/>
      </c>
      <c r="N50" s="5">
        <f>100*LN(LEVEL!N50)</f>
        <v/>
      </c>
      <c r="O50" s="5">
        <f>100*LN(LEVEL!O50)</f>
        <v/>
      </c>
      <c r="P50" s="6">
        <f>IF(AND(YEAR($A50)=2020,MONTH($A50)=3),1,0)</f>
        <v/>
      </c>
      <c r="Q50" s="6">
        <f>IF(AND(YEAR($A50)=2020,MONTH($A50)=4),1,0)</f>
        <v/>
      </c>
      <c r="R50" s="6">
        <f>IF(AND(YEAR($A50)=2020,MONTH($A50)=5),1,0)</f>
        <v/>
      </c>
      <c r="S50" s="6">
        <f>IF(AND(YEAR($A50)=2020,MONTH($A50)=6),1,0)</f>
        <v/>
      </c>
    </row>
    <row r="51">
      <c r="A51" s="3" t="n">
        <v>38018</v>
      </c>
      <c r="B51" s="4" t="inlineStr">
        <is>
          <t>2004m2</t>
        </is>
      </c>
      <c r="C51" s="5">
        <f>100*LN(LEVEL!C51)</f>
        <v/>
      </c>
      <c r="D51" s="5">
        <f>100*LN(LEVEL!D51)</f>
        <v/>
      </c>
      <c r="E51" s="5">
        <f>100*LN(LEVEL!E51)</f>
        <v/>
      </c>
      <c r="F51" s="5">
        <f>LEVEL!F51</f>
        <v/>
      </c>
      <c r="G51" s="5">
        <f>LEVEL!G51</f>
        <v/>
      </c>
      <c r="H51" s="5">
        <f>100*LN(LEVEL!H51)</f>
        <v/>
      </c>
      <c r="I51" s="5">
        <f>100*LN(LEVEL!I51)</f>
        <v/>
      </c>
      <c r="J51" s="5">
        <f>100*LN(LEVEL!J51)</f>
        <v/>
      </c>
      <c r="K51" s="5">
        <f>100*LN(LEVEL!K51)</f>
        <v/>
      </c>
      <c r="L51" s="5">
        <f>LEVEL!L51</f>
        <v/>
      </c>
      <c r="M51" s="5">
        <f>LEVEL!M51</f>
        <v/>
      </c>
      <c r="N51" s="5">
        <f>100*LN(LEVEL!N51)</f>
        <v/>
      </c>
      <c r="O51" s="5">
        <f>100*LN(LEVEL!O51)</f>
        <v/>
      </c>
      <c r="P51" s="6">
        <f>IF(AND(YEAR($A51)=2020,MONTH($A51)=3),1,0)</f>
        <v/>
      </c>
      <c r="Q51" s="6">
        <f>IF(AND(YEAR($A51)=2020,MONTH($A51)=4),1,0)</f>
        <v/>
      </c>
      <c r="R51" s="6">
        <f>IF(AND(YEAR($A51)=2020,MONTH($A51)=5),1,0)</f>
        <v/>
      </c>
      <c r="S51" s="6">
        <f>IF(AND(YEAR($A51)=2020,MONTH($A51)=6),1,0)</f>
        <v/>
      </c>
    </row>
    <row r="52">
      <c r="A52" s="3" t="n">
        <v>38047</v>
      </c>
      <c r="B52" s="4" t="inlineStr">
        <is>
          <t>2004m3</t>
        </is>
      </c>
      <c r="C52" s="5">
        <f>100*LN(LEVEL!C52)</f>
        <v/>
      </c>
      <c r="D52" s="5">
        <f>100*LN(LEVEL!D52)</f>
        <v/>
      </c>
      <c r="E52" s="5">
        <f>100*LN(LEVEL!E52)</f>
        <v/>
      </c>
      <c r="F52" s="5">
        <f>LEVEL!F52</f>
        <v/>
      </c>
      <c r="G52" s="5">
        <f>LEVEL!G52</f>
        <v/>
      </c>
      <c r="H52" s="5">
        <f>100*LN(LEVEL!H52)</f>
        <v/>
      </c>
      <c r="I52" s="5">
        <f>100*LN(LEVEL!I52)</f>
        <v/>
      </c>
      <c r="J52" s="5">
        <f>100*LN(LEVEL!J52)</f>
        <v/>
      </c>
      <c r="K52" s="5">
        <f>100*LN(LEVEL!K52)</f>
        <v/>
      </c>
      <c r="L52" s="5">
        <f>LEVEL!L52</f>
        <v/>
      </c>
      <c r="M52" s="5">
        <f>LEVEL!M52</f>
        <v/>
      </c>
      <c r="N52" s="5">
        <f>100*LN(LEVEL!N52)</f>
        <v/>
      </c>
      <c r="O52" s="5">
        <f>100*LN(LEVEL!O52)</f>
        <v/>
      </c>
      <c r="P52" s="6">
        <f>IF(AND(YEAR($A52)=2020,MONTH($A52)=3),1,0)</f>
        <v/>
      </c>
      <c r="Q52" s="6">
        <f>IF(AND(YEAR($A52)=2020,MONTH($A52)=4),1,0)</f>
        <v/>
      </c>
      <c r="R52" s="6">
        <f>IF(AND(YEAR($A52)=2020,MONTH($A52)=5),1,0)</f>
        <v/>
      </c>
      <c r="S52" s="6">
        <f>IF(AND(YEAR($A52)=2020,MONTH($A52)=6),1,0)</f>
        <v/>
      </c>
    </row>
    <row r="53">
      <c r="A53" s="3" t="n">
        <v>38078</v>
      </c>
      <c r="B53" s="4" t="inlineStr">
        <is>
          <t>2004m4</t>
        </is>
      </c>
      <c r="C53" s="5">
        <f>100*LN(LEVEL!C53)</f>
        <v/>
      </c>
      <c r="D53" s="5">
        <f>100*LN(LEVEL!D53)</f>
        <v/>
      </c>
      <c r="E53" s="5">
        <f>100*LN(LEVEL!E53)</f>
        <v/>
      </c>
      <c r="F53" s="5">
        <f>LEVEL!F53</f>
        <v/>
      </c>
      <c r="G53" s="5">
        <f>LEVEL!G53</f>
        <v/>
      </c>
      <c r="H53" s="5">
        <f>100*LN(LEVEL!H53)</f>
        <v/>
      </c>
      <c r="I53" s="5">
        <f>100*LN(LEVEL!I53)</f>
        <v/>
      </c>
      <c r="J53" s="5">
        <f>100*LN(LEVEL!J53)</f>
        <v/>
      </c>
      <c r="K53" s="5">
        <f>100*LN(LEVEL!K53)</f>
        <v/>
      </c>
      <c r="L53" s="5">
        <f>LEVEL!L53</f>
        <v/>
      </c>
      <c r="M53" s="5">
        <f>LEVEL!M53</f>
        <v/>
      </c>
      <c r="N53" s="5">
        <f>100*LN(LEVEL!N53)</f>
        <v/>
      </c>
      <c r="O53" s="5">
        <f>100*LN(LEVEL!O53)</f>
        <v/>
      </c>
      <c r="P53" s="6">
        <f>IF(AND(YEAR($A53)=2020,MONTH($A53)=3),1,0)</f>
        <v/>
      </c>
      <c r="Q53" s="6">
        <f>IF(AND(YEAR($A53)=2020,MONTH($A53)=4),1,0)</f>
        <v/>
      </c>
      <c r="R53" s="6">
        <f>IF(AND(YEAR($A53)=2020,MONTH($A53)=5),1,0)</f>
        <v/>
      </c>
      <c r="S53" s="6">
        <f>IF(AND(YEAR($A53)=2020,MONTH($A53)=6),1,0)</f>
        <v/>
      </c>
    </row>
    <row r="54">
      <c r="A54" s="3" t="n">
        <v>38108</v>
      </c>
      <c r="B54" s="4" t="inlineStr">
        <is>
          <t>2004m5</t>
        </is>
      </c>
      <c r="C54" s="5">
        <f>100*LN(LEVEL!C54)</f>
        <v/>
      </c>
      <c r="D54" s="5">
        <f>100*LN(LEVEL!D54)</f>
        <v/>
      </c>
      <c r="E54" s="5">
        <f>100*LN(LEVEL!E54)</f>
        <v/>
      </c>
      <c r="F54" s="5">
        <f>LEVEL!F54</f>
        <v/>
      </c>
      <c r="G54" s="5">
        <f>LEVEL!G54</f>
        <v/>
      </c>
      <c r="H54" s="5">
        <f>100*LN(LEVEL!H54)</f>
        <v/>
      </c>
      <c r="I54" s="5">
        <f>100*LN(LEVEL!I54)</f>
        <v/>
      </c>
      <c r="J54" s="5">
        <f>100*LN(LEVEL!J54)</f>
        <v/>
      </c>
      <c r="K54" s="5">
        <f>100*LN(LEVEL!K54)</f>
        <v/>
      </c>
      <c r="L54" s="5">
        <f>LEVEL!L54</f>
        <v/>
      </c>
      <c r="M54" s="5">
        <f>LEVEL!M54</f>
        <v/>
      </c>
      <c r="N54" s="5">
        <f>100*LN(LEVEL!N54)</f>
        <v/>
      </c>
      <c r="O54" s="5">
        <f>100*LN(LEVEL!O54)</f>
        <v/>
      </c>
      <c r="P54" s="6">
        <f>IF(AND(YEAR($A54)=2020,MONTH($A54)=3),1,0)</f>
        <v/>
      </c>
      <c r="Q54" s="6">
        <f>IF(AND(YEAR($A54)=2020,MONTH($A54)=4),1,0)</f>
        <v/>
      </c>
      <c r="R54" s="6">
        <f>IF(AND(YEAR($A54)=2020,MONTH($A54)=5),1,0)</f>
        <v/>
      </c>
      <c r="S54" s="6">
        <f>IF(AND(YEAR($A54)=2020,MONTH($A54)=6),1,0)</f>
        <v/>
      </c>
    </row>
    <row r="55">
      <c r="A55" s="3" t="n">
        <v>38139</v>
      </c>
      <c r="B55" s="4" t="inlineStr">
        <is>
          <t>2004m6</t>
        </is>
      </c>
      <c r="C55" s="5">
        <f>100*LN(LEVEL!C55)</f>
        <v/>
      </c>
      <c r="D55" s="5">
        <f>100*LN(LEVEL!D55)</f>
        <v/>
      </c>
      <c r="E55" s="5">
        <f>100*LN(LEVEL!E55)</f>
        <v/>
      </c>
      <c r="F55" s="5">
        <f>LEVEL!F55</f>
        <v/>
      </c>
      <c r="G55" s="5">
        <f>LEVEL!G55</f>
        <v/>
      </c>
      <c r="H55" s="5">
        <f>100*LN(LEVEL!H55)</f>
        <v/>
      </c>
      <c r="I55" s="5">
        <f>100*LN(LEVEL!I55)</f>
        <v/>
      </c>
      <c r="J55" s="5">
        <f>100*LN(LEVEL!J55)</f>
        <v/>
      </c>
      <c r="K55" s="5">
        <f>100*LN(LEVEL!K55)</f>
        <v/>
      </c>
      <c r="L55" s="5">
        <f>LEVEL!L55</f>
        <v/>
      </c>
      <c r="M55" s="5">
        <f>LEVEL!M55</f>
        <v/>
      </c>
      <c r="N55" s="5">
        <f>100*LN(LEVEL!N55)</f>
        <v/>
      </c>
      <c r="O55" s="5">
        <f>100*LN(LEVEL!O55)</f>
        <v/>
      </c>
      <c r="P55" s="6">
        <f>IF(AND(YEAR($A55)=2020,MONTH($A55)=3),1,0)</f>
        <v/>
      </c>
      <c r="Q55" s="6">
        <f>IF(AND(YEAR($A55)=2020,MONTH($A55)=4),1,0)</f>
        <v/>
      </c>
      <c r="R55" s="6">
        <f>IF(AND(YEAR($A55)=2020,MONTH($A55)=5),1,0)</f>
        <v/>
      </c>
      <c r="S55" s="6">
        <f>IF(AND(YEAR($A55)=2020,MONTH($A55)=6),1,0)</f>
        <v/>
      </c>
    </row>
    <row r="56">
      <c r="A56" s="3" t="n">
        <v>38169</v>
      </c>
      <c r="B56" s="4" t="inlineStr">
        <is>
          <t>2004m7</t>
        </is>
      </c>
      <c r="C56" s="5">
        <f>100*LN(LEVEL!C56)</f>
        <v/>
      </c>
      <c r="D56" s="5">
        <f>100*LN(LEVEL!D56)</f>
        <v/>
      </c>
      <c r="E56" s="5">
        <f>100*LN(LEVEL!E56)</f>
        <v/>
      </c>
      <c r="F56" s="5">
        <f>LEVEL!F56</f>
        <v/>
      </c>
      <c r="G56" s="5">
        <f>LEVEL!G56</f>
        <v/>
      </c>
      <c r="H56" s="5">
        <f>100*LN(LEVEL!H56)</f>
        <v/>
      </c>
      <c r="I56" s="5">
        <f>100*LN(LEVEL!I56)</f>
        <v/>
      </c>
      <c r="J56" s="5">
        <f>100*LN(LEVEL!J56)</f>
        <v/>
      </c>
      <c r="K56" s="5">
        <f>100*LN(LEVEL!K56)</f>
        <v/>
      </c>
      <c r="L56" s="5">
        <f>LEVEL!L56</f>
        <v/>
      </c>
      <c r="M56" s="5">
        <f>LEVEL!M56</f>
        <v/>
      </c>
      <c r="N56" s="5">
        <f>100*LN(LEVEL!N56)</f>
        <v/>
      </c>
      <c r="O56" s="5">
        <f>100*LN(LEVEL!O56)</f>
        <v/>
      </c>
      <c r="P56" s="6">
        <f>IF(AND(YEAR($A56)=2020,MONTH($A56)=3),1,0)</f>
        <v/>
      </c>
      <c r="Q56" s="6">
        <f>IF(AND(YEAR($A56)=2020,MONTH($A56)=4),1,0)</f>
        <v/>
      </c>
      <c r="R56" s="6">
        <f>IF(AND(YEAR($A56)=2020,MONTH($A56)=5),1,0)</f>
        <v/>
      </c>
      <c r="S56" s="6">
        <f>IF(AND(YEAR($A56)=2020,MONTH($A56)=6),1,0)</f>
        <v/>
      </c>
    </row>
    <row r="57">
      <c r="A57" s="3" t="n">
        <v>38200</v>
      </c>
      <c r="B57" s="4" t="inlineStr">
        <is>
          <t>2004m8</t>
        </is>
      </c>
      <c r="C57" s="5">
        <f>100*LN(LEVEL!C57)</f>
        <v/>
      </c>
      <c r="D57" s="5">
        <f>100*LN(LEVEL!D57)</f>
        <v/>
      </c>
      <c r="E57" s="5">
        <f>100*LN(LEVEL!E57)</f>
        <v/>
      </c>
      <c r="F57" s="5">
        <f>LEVEL!F57</f>
        <v/>
      </c>
      <c r="G57" s="5">
        <f>LEVEL!G57</f>
        <v/>
      </c>
      <c r="H57" s="5">
        <f>100*LN(LEVEL!H57)</f>
        <v/>
      </c>
      <c r="I57" s="5">
        <f>100*LN(LEVEL!I57)</f>
        <v/>
      </c>
      <c r="J57" s="5">
        <f>100*LN(LEVEL!J57)</f>
        <v/>
      </c>
      <c r="K57" s="5">
        <f>100*LN(LEVEL!K57)</f>
        <v/>
      </c>
      <c r="L57" s="5">
        <f>LEVEL!L57</f>
        <v/>
      </c>
      <c r="M57" s="5">
        <f>LEVEL!M57</f>
        <v/>
      </c>
      <c r="N57" s="5">
        <f>100*LN(LEVEL!N57)</f>
        <v/>
      </c>
      <c r="O57" s="5">
        <f>100*LN(LEVEL!O57)</f>
        <v/>
      </c>
      <c r="P57" s="6">
        <f>IF(AND(YEAR($A57)=2020,MONTH($A57)=3),1,0)</f>
        <v/>
      </c>
      <c r="Q57" s="6">
        <f>IF(AND(YEAR($A57)=2020,MONTH($A57)=4),1,0)</f>
        <v/>
      </c>
      <c r="R57" s="6">
        <f>IF(AND(YEAR($A57)=2020,MONTH($A57)=5),1,0)</f>
        <v/>
      </c>
      <c r="S57" s="6">
        <f>IF(AND(YEAR($A57)=2020,MONTH($A57)=6),1,0)</f>
        <v/>
      </c>
    </row>
    <row r="58">
      <c r="A58" s="3" t="n">
        <v>38231</v>
      </c>
      <c r="B58" s="4" t="inlineStr">
        <is>
          <t>2004m9</t>
        </is>
      </c>
      <c r="C58" s="5">
        <f>100*LN(LEVEL!C58)</f>
        <v/>
      </c>
      <c r="D58" s="5">
        <f>100*LN(LEVEL!D58)</f>
        <v/>
      </c>
      <c r="E58" s="5">
        <f>100*LN(LEVEL!E58)</f>
        <v/>
      </c>
      <c r="F58" s="5">
        <f>LEVEL!F58</f>
        <v/>
      </c>
      <c r="G58" s="5">
        <f>LEVEL!G58</f>
        <v/>
      </c>
      <c r="H58" s="5">
        <f>100*LN(LEVEL!H58)</f>
        <v/>
      </c>
      <c r="I58" s="5">
        <f>100*LN(LEVEL!I58)</f>
        <v/>
      </c>
      <c r="J58" s="5">
        <f>100*LN(LEVEL!J58)</f>
        <v/>
      </c>
      <c r="K58" s="5">
        <f>100*LN(LEVEL!K58)</f>
        <v/>
      </c>
      <c r="L58" s="5">
        <f>LEVEL!L58</f>
        <v/>
      </c>
      <c r="M58" s="5">
        <f>LEVEL!M58</f>
        <v/>
      </c>
      <c r="N58" s="5">
        <f>100*LN(LEVEL!N58)</f>
        <v/>
      </c>
      <c r="O58" s="5">
        <f>100*LN(LEVEL!O58)</f>
        <v/>
      </c>
      <c r="P58" s="6">
        <f>IF(AND(YEAR($A58)=2020,MONTH($A58)=3),1,0)</f>
        <v/>
      </c>
      <c r="Q58" s="6">
        <f>IF(AND(YEAR($A58)=2020,MONTH($A58)=4),1,0)</f>
        <v/>
      </c>
      <c r="R58" s="6">
        <f>IF(AND(YEAR($A58)=2020,MONTH($A58)=5),1,0)</f>
        <v/>
      </c>
      <c r="S58" s="6">
        <f>IF(AND(YEAR($A58)=2020,MONTH($A58)=6),1,0)</f>
        <v/>
      </c>
    </row>
    <row r="59">
      <c r="A59" s="3" t="n">
        <v>38261</v>
      </c>
      <c r="B59" s="4" t="inlineStr">
        <is>
          <t>2004m10</t>
        </is>
      </c>
      <c r="C59" s="5">
        <f>100*LN(LEVEL!C59)</f>
        <v/>
      </c>
      <c r="D59" s="5">
        <f>100*LN(LEVEL!D59)</f>
        <v/>
      </c>
      <c r="E59" s="5">
        <f>100*LN(LEVEL!E59)</f>
        <v/>
      </c>
      <c r="F59" s="5">
        <f>LEVEL!F59</f>
        <v/>
      </c>
      <c r="G59" s="5">
        <f>LEVEL!G59</f>
        <v/>
      </c>
      <c r="H59" s="5">
        <f>100*LN(LEVEL!H59)</f>
        <v/>
      </c>
      <c r="I59" s="5">
        <f>100*LN(LEVEL!I59)</f>
        <v/>
      </c>
      <c r="J59" s="5">
        <f>100*LN(LEVEL!J59)</f>
        <v/>
      </c>
      <c r="K59" s="5">
        <f>100*LN(LEVEL!K59)</f>
        <v/>
      </c>
      <c r="L59" s="5">
        <f>LEVEL!L59</f>
        <v/>
      </c>
      <c r="M59" s="5">
        <f>LEVEL!M59</f>
        <v/>
      </c>
      <c r="N59" s="5">
        <f>100*LN(LEVEL!N59)</f>
        <v/>
      </c>
      <c r="O59" s="5">
        <f>100*LN(LEVEL!O59)</f>
        <v/>
      </c>
      <c r="P59" s="6">
        <f>IF(AND(YEAR($A59)=2020,MONTH($A59)=3),1,0)</f>
        <v/>
      </c>
      <c r="Q59" s="6">
        <f>IF(AND(YEAR($A59)=2020,MONTH($A59)=4),1,0)</f>
        <v/>
      </c>
      <c r="R59" s="6">
        <f>IF(AND(YEAR($A59)=2020,MONTH($A59)=5),1,0)</f>
        <v/>
      </c>
      <c r="S59" s="6">
        <f>IF(AND(YEAR($A59)=2020,MONTH($A59)=6),1,0)</f>
        <v/>
      </c>
    </row>
    <row r="60">
      <c r="A60" s="3" t="n">
        <v>38292</v>
      </c>
      <c r="B60" s="4" t="inlineStr">
        <is>
          <t>2004m11</t>
        </is>
      </c>
      <c r="C60" s="5">
        <f>100*LN(LEVEL!C60)</f>
        <v/>
      </c>
      <c r="D60" s="5">
        <f>100*LN(LEVEL!D60)</f>
        <v/>
      </c>
      <c r="E60" s="5">
        <f>100*LN(LEVEL!E60)</f>
        <v/>
      </c>
      <c r="F60" s="5">
        <f>LEVEL!F60</f>
        <v/>
      </c>
      <c r="G60" s="5">
        <f>LEVEL!G60</f>
        <v/>
      </c>
      <c r="H60" s="5">
        <f>100*LN(LEVEL!H60)</f>
        <v/>
      </c>
      <c r="I60" s="5">
        <f>100*LN(LEVEL!I60)</f>
        <v/>
      </c>
      <c r="J60" s="5">
        <f>100*LN(LEVEL!J60)</f>
        <v/>
      </c>
      <c r="K60" s="5">
        <f>100*LN(LEVEL!K60)</f>
        <v/>
      </c>
      <c r="L60" s="5">
        <f>LEVEL!L60</f>
        <v/>
      </c>
      <c r="M60" s="5">
        <f>LEVEL!M60</f>
        <v/>
      </c>
      <c r="N60" s="5">
        <f>100*LN(LEVEL!N60)</f>
        <v/>
      </c>
      <c r="O60" s="5">
        <f>100*LN(LEVEL!O60)</f>
        <v/>
      </c>
      <c r="P60" s="6">
        <f>IF(AND(YEAR($A60)=2020,MONTH($A60)=3),1,0)</f>
        <v/>
      </c>
      <c r="Q60" s="6">
        <f>IF(AND(YEAR($A60)=2020,MONTH($A60)=4),1,0)</f>
        <v/>
      </c>
      <c r="R60" s="6">
        <f>IF(AND(YEAR($A60)=2020,MONTH($A60)=5),1,0)</f>
        <v/>
      </c>
      <c r="S60" s="6">
        <f>IF(AND(YEAR($A60)=2020,MONTH($A60)=6),1,0)</f>
        <v/>
      </c>
    </row>
    <row r="61">
      <c r="A61" s="3" t="n">
        <v>38322</v>
      </c>
      <c r="B61" s="4" t="inlineStr">
        <is>
          <t>2004m12</t>
        </is>
      </c>
      <c r="C61" s="5">
        <f>100*LN(LEVEL!C61)</f>
        <v/>
      </c>
      <c r="D61" s="5">
        <f>100*LN(LEVEL!D61)</f>
        <v/>
      </c>
      <c r="E61" s="5">
        <f>100*LN(LEVEL!E61)</f>
        <v/>
      </c>
      <c r="F61" s="5">
        <f>LEVEL!F61</f>
        <v/>
      </c>
      <c r="G61" s="5">
        <f>LEVEL!G61</f>
        <v/>
      </c>
      <c r="H61" s="5">
        <f>100*LN(LEVEL!H61)</f>
        <v/>
      </c>
      <c r="I61" s="5">
        <f>100*LN(LEVEL!I61)</f>
        <v/>
      </c>
      <c r="J61" s="5">
        <f>100*LN(LEVEL!J61)</f>
        <v/>
      </c>
      <c r="K61" s="5">
        <f>100*LN(LEVEL!K61)</f>
        <v/>
      </c>
      <c r="L61" s="5">
        <f>LEVEL!L61</f>
        <v/>
      </c>
      <c r="M61" s="5">
        <f>LEVEL!M61</f>
        <v/>
      </c>
      <c r="N61" s="5">
        <f>100*LN(LEVEL!N61)</f>
        <v/>
      </c>
      <c r="O61" s="5">
        <f>100*LN(LEVEL!O61)</f>
        <v/>
      </c>
      <c r="P61" s="6">
        <f>IF(AND(YEAR($A61)=2020,MONTH($A61)=3),1,0)</f>
        <v/>
      </c>
      <c r="Q61" s="6">
        <f>IF(AND(YEAR($A61)=2020,MONTH($A61)=4),1,0)</f>
        <v/>
      </c>
      <c r="R61" s="6">
        <f>IF(AND(YEAR($A61)=2020,MONTH($A61)=5),1,0)</f>
        <v/>
      </c>
      <c r="S61" s="6">
        <f>IF(AND(YEAR($A61)=2020,MONTH($A61)=6),1,0)</f>
        <v/>
      </c>
    </row>
    <row r="62">
      <c r="A62" s="3" t="n">
        <v>38353</v>
      </c>
      <c r="B62" s="4" t="inlineStr">
        <is>
          <t>2005m1</t>
        </is>
      </c>
      <c r="C62" s="5">
        <f>100*LN(LEVEL!C62)</f>
        <v/>
      </c>
      <c r="D62" s="5">
        <f>100*LN(LEVEL!D62)</f>
        <v/>
      </c>
      <c r="E62" s="5">
        <f>100*LN(LEVEL!E62)</f>
        <v/>
      </c>
      <c r="F62" s="5">
        <f>LEVEL!F62</f>
        <v/>
      </c>
      <c r="G62" s="5">
        <f>LEVEL!G62</f>
        <v/>
      </c>
      <c r="H62" s="5">
        <f>100*LN(LEVEL!H62)</f>
        <v/>
      </c>
      <c r="I62" s="5">
        <f>100*LN(LEVEL!I62)</f>
        <v/>
      </c>
      <c r="J62" s="5">
        <f>100*LN(LEVEL!J62)</f>
        <v/>
      </c>
      <c r="K62" s="5">
        <f>100*LN(LEVEL!K62)</f>
        <v/>
      </c>
      <c r="L62" s="5">
        <f>LEVEL!L62</f>
        <v/>
      </c>
      <c r="M62" s="5">
        <f>LEVEL!M62</f>
        <v/>
      </c>
      <c r="N62" s="5">
        <f>100*LN(LEVEL!N62)</f>
        <v/>
      </c>
      <c r="O62" s="5">
        <f>100*LN(LEVEL!O62)</f>
        <v/>
      </c>
      <c r="P62" s="6">
        <f>IF(AND(YEAR($A62)=2020,MONTH($A62)=3),1,0)</f>
        <v/>
      </c>
      <c r="Q62" s="6">
        <f>IF(AND(YEAR($A62)=2020,MONTH($A62)=4),1,0)</f>
        <v/>
      </c>
      <c r="R62" s="6">
        <f>IF(AND(YEAR($A62)=2020,MONTH($A62)=5),1,0)</f>
        <v/>
      </c>
      <c r="S62" s="6">
        <f>IF(AND(YEAR($A62)=2020,MONTH($A62)=6),1,0)</f>
        <v/>
      </c>
    </row>
    <row r="63">
      <c r="A63" s="3" t="n">
        <v>38384</v>
      </c>
      <c r="B63" s="4" t="inlineStr">
        <is>
          <t>2005m2</t>
        </is>
      </c>
      <c r="C63" s="5">
        <f>100*LN(LEVEL!C63)</f>
        <v/>
      </c>
      <c r="D63" s="5">
        <f>100*LN(LEVEL!D63)</f>
        <v/>
      </c>
      <c r="E63" s="5">
        <f>100*LN(LEVEL!E63)</f>
        <v/>
      </c>
      <c r="F63" s="5">
        <f>LEVEL!F63</f>
        <v/>
      </c>
      <c r="G63" s="5">
        <f>LEVEL!G63</f>
        <v/>
      </c>
      <c r="H63" s="5">
        <f>100*LN(LEVEL!H63)</f>
        <v/>
      </c>
      <c r="I63" s="5">
        <f>100*LN(LEVEL!I63)</f>
        <v/>
      </c>
      <c r="J63" s="5">
        <f>100*LN(LEVEL!J63)</f>
        <v/>
      </c>
      <c r="K63" s="5">
        <f>100*LN(LEVEL!K63)</f>
        <v/>
      </c>
      <c r="L63" s="5">
        <f>LEVEL!L63</f>
        <v/>
      </c>
      <c r="M63" s="5">
        <f>LEVEL!M63</f>
        <v/>
      </c>
      <c r="N63" s="5">
        <f>100*LN(LEVEL!N63)</f>
        <v/>
      </c>
      <c r="O63" s="5">
        <f>100*LN(LEVEL!O63)</f>
        <v/>
      </c>
      <c r="P63" s="6">
        <f>IF(AND(YEAR($A63)=2020,MONTH($A63)=3),1,0)</f>
        <v/>
      </c>
      <c r="Q63" s="6">
        <f>IF(AND(YEAR($A63)=2020,MONTH($A63)=4),1,0)</f>
        <v/>
      </c>
      <c r="R63" s="6">
        <f>IF(AND(YEAR($A63)=2020,MONTH($A63)=5),1,0)</f>
        <v/>
      </c>
      <c r="S63" s="6">
        <f>IF(AND(YEAR($A63)=2020,MONTH($A63)=6),1,0)</f>
        <v/>
      </c>
    </row>
    <row r="64">
      <c r="A64" s="3" t="n">
        <v>38412</v>
      </c>
      <c r="B64" s="4" t="inlineStr">
        <is>
          <t>2005m3</t>
        </is>
      </c>
      <c r="C64" s="5">
        <f>100*LN(LEVEL!C64)</f>
        <v/>
      </c>
      <c r="D64" s="5">
        <f>100*LN(LEVEL!D64)</f>
        <v/>
      </c>
      <c r="E64" s="5">
        <f>100*LN(LEVEL!E64)</f>
        <v/>
      </c>
      <c r="F64" s="5">
        <f>LEVEL!F64</f>
        <v/>
      </c>
      <c r="G64" s="5">
        <f>LEVEL!G64</f>
        <v/>
      </c>
      <c r="H64" s="5">
        <f>100*LN(LEVEL!H64)</f>
        <v/>
      </c>
      <c r="I64" s="5">
        <f>100*LN(LEVEL!I64)</f>
        <v/>
      </c>
      <c r="J64" s="5">
        <f>100*LN(LEVEL!J64)</f>
        <v/>
      </c>
      <c r="K64" s="5">
        <f>100*LN(LEVEL!K64)</f>
        <v/>
      </c>
      <c r="L64" s="5">
        <f>LEVEL!L64</f>
        <v/>
      </c>
      <c r="M64" s="5">
        <f>LEVEL!M64</f>
        <v/>
      </c>
      <c r="N64" s="5">
        <f>100*LN(LEVEL!N64)</f>
        <v/>
      </c>
      <c r="O64" s="5">
        <f>100*LN(LEVEL!O64)</f>
        <v/>
      </c>
      <c r="P64" s="6">
        <f>IF(AND(YEAR($A64)=2020,MONTH($A64)=3),1,0)</f>
        <v/>
      </c>
      <c r="Q64" s="6">
        <f>IF(AND(YEAR($A64)=2020,MONTH($A64)=4),1,0)</f>
        <v/>
      </c>
      <c r="R64" s="6">
        <f>IF(AND(YEAR($A64)=2020,MONTH($A64)=5),1,0)</f>
        <v/>
      </c>
      <c r="S64" s="6">
        <f>IF(AND(YEAR($A64)=2020,MONTH($A64)=6),1,0)</f>
        <v/>
      </c>
    </row>
    <row r="65">
      <c r="A65" s="3" t="n">
        <v>38443</v>
      </c>
      <c r="B65" s="4" t="inlineStr">
        <is>
          <t>2005m4</t>
        </is>
      </c>
      <c r="C65" s="5">
        <f>100*LN(LEVEL!C65)</f>
        <v/>
      </c>
      <c r="D65" s="5">
        <f>100*LN(LEVEL!D65)</f>
        <v/>
      </c>
      <c r="E65" s="5">
        <f>100*LN(LEVEL!E65)</f>
        <v/>
      </c>
      <c r="F65" s="5">
        <f>LEVEL!F65</f>
        <v/>
      </c>
      <c r="G65" s="5">
        <f>LEVEL!G65</f>
        <v/>
      </c>
      <c r="H65" s="5">
        <f>100*LN(LEVEL!H65)</f>
        <v/>
      </c>
      <c r="I65" s="5">
        <f>100*LN(LEVEL!I65)</f>
        <v/>
      </c>
      <c r="J65" s="5">
        <f>100*LN(LEVEL!J65)</f>
        <v/>
      </c>
      <c r="K65" s="5">
        <f>100*LN(LEVEL!K65)</f>
        <v/>
      </c>
      <c r="L65" s="5">
        <f>LEVEL!L65</f>
        <v/>
      </c>
      <c r="M65" s="5">
        <f>LEVEL!M65</f>
        <v/>
      </c>
      <c r="N65" s="5">
        <f>100*LN(LEVEL!N65)</f>
        <v/>
      </c>
      <c r="O65" s="5">
        <f>100*LN(LEVEL!O65)</f>
        <v/>
      </c>
      <c r="P65" s="6">
        <f>IF(AND(YEAR($A65)=2020,MONTH($A65)=3),1,0)</f>
        <v/>
      </c>
      <c r="Q65" s="6">
        <f>IF(AND(YEAR($A65)=2020,MONTH($A65)=4),1,0)</f>
        <v/>
      </c>
      <c r="R65" s="6">
        <f>IF(AND(YEAR($A65)=2020,MONTH($A65)=5),1,0)</f>
        <v/>
      </c>
      <c r="S65" s="6">
        <f>IF(AND(YEAR($A65)=2020,MONTH($A65)=6),1,0)</f>
        <v/>
      </c>
    </row>
    <row r="66">
      <c r="A66" s="3" t="n">
        <v>38473</v>
      </c>
      <c r="B66" s="4" t="inlineStr">
        <is>
          <t>2005m5</t>
        </is>
      </c>
      <c r="C66" s="5">
        <f>100*LN(LEVEL!C66)</f>
        <v/>
      </c>
      <c r="D66" s="5">
        <f>100*LN(LEVEL!D66)</f>
        <v/>
      </c>
      <c r="E66" s="5">
        <f>100*LN(LEVEL!E66)</f>
        <v/>
      </c>
      <c r="F66" s="5">
        <f>LEVEL!F66</f>
        <v/>
      </c>
      <c r="G66" s="5">
        <f>LEVEL!G66</f>
        <v/>
      </c>
      <c r="H66" s="5">
        <f>100*LN(LEVEL!H66)</f>
        <v/>
      </c>
      <c r="I66" s="5">
        <f>100*LN(LEVEL!I66)</f>
        <v/>
      </c>
      <c r="J66" s="5">
        <f>100*LN(LEVEL!J66)</f>
        <v/>
      </c>
      <c r="K66" s="5">
        <f>100*LN(LEVEL!K66)</f>
        <v/>
      </c>
      <c r="L66" s="5">
        <f>LEVEL!L66</f>
        <v/>
      </c>
      <c r="M66" s="5">
        <f>LEVEL!M66</f>
        <v/>
      </c>
      <c r="N66" s="5">
        <f>100*LN(LEVEL!N66)</f>
        <v/>
      </c>
      <c r="O66" s="5">
        <f>100*LN(LEVEL!O66)</f>
        <v/>
      </c>
      <c r="P66" s="6">
        <f>IF(AND(YEAR($A66)=2020,MONTH($A66)=3),1,0)</f>
        <v/>
      </c>
      <c r="Q66" s="6">
        <f>IF(AND(YEAR($A66)=2020,MONTH($A66)=4),1,0)</f>
        <v/>
      </c>
      <c r="R66" s="6">
        <f>IF(AND(YEAR($A66)=2020,MONTH($A66)=5),1,0)</f>
        <v/>
      </c>
      <c r="S66" s="6">
        <f>IF(AND(YEAR($A66)=2020,MONTH($A66)=6),1,0)</f>
        <v/>
      </c>
    </row>
    <row r="67">
      <c r="A67" s="3" t="n">
        <v>38504</v>
      </c>
      <c r="B67" s="4" t="inlineStr">
        <is>
          <t>2005m6</t>
        </is>
      </c>
      <c r="C67" s="5">
        <f>100*LN(LEVEL!C67)</f>
        <v/>
      </c>
      <c r="D67" s="5">
        <f>100*LN(LEVEL!D67)</f>
        <v/>
      </c>
      <c r="E67" s="5">
        <f>100*LN(LEVEL!E67)</f>
        <v/>
      </c>
      <c r="F67" s="5">
        <f>LEVEL!F67</f>
        <v/>
      </c>
      <c r="G67" s="5">
        <f>LEVEL!G67</f>
        <v/>
      </c>
      <c r="H67" s="5">
        <f>100*LN(LEVEL!H67)</f>
        <v/>
      </c>
      <c r="I67" s="5">
        <f>100*LN(LEVEL!I67)</f>
        <v/>
      </c>
      <c r="J67" s="5">
        <f>100*LN(LEVEL!J67)</f>
        <v/>
      </c>
      <c r="K67" s="5">
        <f>100*LN(LEVEL!K67)</f>
        <v/>
      </c>
      <c r="L67" s="5">
        <f>LEVEL!L67</f>
        <v/>
      </c>
      <c r="M67" s="5">
        <f>LEVEL!M67</f>
        <v/>
      </c>
      <c r="N67" s="5">
        <f>100*LN(LEVEL!N67)</f>
        <v/>
      </c>
      <c r="O67" s="5">
        <f>100*LN(LEVEL!O67)</f>
        <v/>
      </c>
      <c r="P67" s="6">
        <f>IF(AND(YEAR($A67)=2020,MONTH($A67)=3),1,0)</f>
        <v/>
      </c>
      <c r="Q67" s="6">
        <f>IF(AND(YEAR($A67)=2020,MONTH($A67)=4),1,0)</f>
        <v/>
      </c>
      <c r="R67" s="6">
        <f>IF(AND(YEAR($A67)=2020,MONTH($A67)=5),1,0)</f>
        <v/>
      </c>
      <c r="S67" s="6">
        <f>IF(AND(YEAR($A67)=2020,MONTH($A67)=6),1,0)</f>
        <v/>
      </c>
    </row>
    <row r="68">
      <c r="A68" s="3" t="n">
        <v>38534</v>
      </c>
      <c r="B68" s="4" t="inlineStr">
        <is>
          <t>2005m7</t>
        </is>
      </c>
      <c r="C68" s="5">
        <f>100*LN(LEVEL!C68)</f>
        <v/>
      </c>
      <c r="D68" s="5">
        <f>100*LN(LEVEL!D68)</f>
        <v/>
      </c>
      <c r="E68" s="5">
        <f>100*LN(LEVEL!E68)</f>
        <v/>
      </c>
      <c r="F68" s="5">
        <f>LEVEL!F68</f>
        <v/>
      </c>
      <c r="G68" s="5">
        <f>LEVEL!G68</f>
        <v/>
      </c>
      <c r="H68" s="5">
        <f>100*LN(LEVEL!H68)</f>
        <v/>
      </c>
      <c r="I68" s="5">
        <f>100*LN(LEVEL!I68)</f>
        <v/>
      </c>
      <c r="J68" s="5">
        <f>100*LN(LEVEL!J68)</f>
        <v/>
      </c>
      <c r="K68" s="5">
        <f>100*LN(LEVEL!K68)</f>
        <v/>
      </c>
      <c r="L68" s="5">
        <f>LEVEL!L68</f>
        <v/>
      </c>
      <c r="M68" s="5">
        <f>LEVEL!M68</f>
        <v/>
      </c>
      <c r="N68" s="5">
        <f>100*LN(LEVEL!N68)</f>
        <v/>
      </c>
      <c r="O68" s="5">
        <f>100*LN(LEVEL!O68)</f>
        <v/>
      </c>
      <c r="P68" s="6">
        <f>IF(AND(YEAR($A68)=2020,MONTH($A68)=3),1,0)</f>
        <v/>
      </c>
      <c r="Q68" s="6">
        <f>IF(AND(YEAR($A68)=2020,MONTH($A68)=4),1,0)</f>
        <v/>
      </c>
      <c r="R68" s="6">
        <f>IF(AND(YEAR($A68)=2020,MONTH($A68)=5),1,0)</f>
        <v/>
      </c>
      <c r="S68" s="6">
        <f>IF(AND(YEAR($A68)=2020,MONTH($A68)=6),1,0)</f>
        <v/>
      </c>
    </row>
    <row r="69">
      <c r="A69" s="3" t="n">
        <v>38565</v>
      </c>
      <c r="B69" s="4" t="inlineStr">
        <is>
          <t>2005m8</t>
        </is>
      </c>
      <c r="C69" s="5">
        <f>100*LN(LEVEL!C69)</f>
        <v/>
      </c>
      <c r="D69" s="5">
        <f>100*LN(LEVEL!D69)</f>
        <v/>
      </c>
      <c r="E69" s="5">
        <f>100*LN(LEVEL!E69)</f>
        <v/>
      </c>
      <c r="F69" s="5">
        <f>LEVEL!F69</f>
        <v/>
      </c>
      <c r="G69" s="5">
        <f>LEVEL!G69</f>
        <v/>
      </c>
      <c r="H69" s="5">
        <f>100*LN(LEVEL!H69)</f>
        <v/>
      </c>
      <c r="I69" s="5">
        <f>100*LN(LEVEL!I69)</f>
        <v/>
      </c>
      <c r="J69" s="5">
        <f>100*LN(LEVEL!J69)</f>
        <v/>
      </c>
      <c r="K69" s="5">
        <f>100*LN(LEVEL!K69)</f>
        <v/>
      </c>
      <c r="L69" s="5">
        <f>LEVEL!L69</f>
        <v/>
      </c>
      <c r="M69" s="5">
        <f>LEVEL!M69</f>
        <v/>
      </c>
      <c r="N69" s="5">
        <f>100*LN(LEVEL!N69)</f>
        <v/>
      </c>
      <c r="O69" s="5">
        <f>100*LN(LEVEL!O69)</f>
        <v/>
      </c>
      <c r="P69" s="6">
        <f>IF(AND(YEAR($A69)=2020,MONTH($A69)=3),1,0)</f>
        <v/>
      </c>
      <c r="Q69" s="6">
        <f>IF(AND(YEAR($A69)=2020,MONTH($A69)=4),1,0)</f>
        <v/>
      </c>
      <c r="R69" s="6">
        <f>IF(AND(YEAR($A69)=2020,MONTH($A69)=5),1,0)</f>
        <v/>
      </c>
      <c r="S69" s="6">
        <f>IF(AND(YEAR($A69)=2020,MONTH($A69)=6),1,0)</f>
        <v/>
      </c>
    </row>
    <row r="70">
      <c r="A70" s="3" t="n">
        <v>38596</v>
      </c>
      <c r="B70" s="4" t="inlineStr">
        <is>
          <t>2005m9</t>
        </is>
      </c>
      <c r="C70" s="5">
        <f>100*LN(LEVEL!C70)</f>
        <v/>
      </c>
      <c r="D70" s="5">
        <f>100*LN(LEVEL!D70)</f>
        <v/>
      </c>
      <c r="E70" s="5">
        <f>100*LN(LEVEL!E70)</f>
        <v/>
      </c>
      <c r="F70" s="5">
        <f>LEVEL!F70</f>
        <v/>
      </c>
      <c r="G70" s="5">
        <f>LEVEL!G70</f>
        <v/>
      </c>
      <c r="H70" s="5">
        <f>100*LN(LEVEL!H70)</f>
        <v/>
      </c>
      <c r="I70" s="5">
        <f>100*LN(LEVEL!I70)</f>
        <v/>
      </c>
      <c r="J70" s="5">
        <f>100*LN(LEVEL!J70)</f>
        <v/>
      </c>
      <c r="K70" s="5">
        <f>100*LN(LEVEL!K70)</f>
        <v/>
      </c>
      <c r="L70" s="5">
        <f>LEVEL!L70</f>
        <v/>
      </c>
      <c r="M70" s="5">
        <f>LEVEL!M70</f>
        <v/>
      </c>
      <c r="N70" s="5">
        <f>100*LN(LEVEL!N70)</f>
        <v/>
      </c>
      <c r="O70" s="5">
        <f>100*LN(LEVEL!O70)</f>
        <v/>
      </c>
      <c r="P70" s="6">
        <f>IF(AND(YEAR($A70)=2020,MONTH($A70)=3),1,0)</f>
        <v/>
      </c>
      <c r="Q70" s="6">
        <f>IF(AND(YEAR($A70)=2020,MONTH($A70)=4),1,0)</f>
        <v/>
      </c>
      <c r="R70" s="6">
        <f>IF(AND(YEAR($A70)=2020,MONTH($A70)=5),1,0)</f>
        <v/>
      </c>
      <c r="S70" s="6">
        <f>IF(AND(YEAR($A70)=2020,MONTH($A70)=6),1,0)</f>
        <v/>
      </c>
    </row>
    <row r="71">
      <c r="A71" s="3" t="n">
        <v>38626</v>
      </c>
      <c r="B71" s="4" t="inlineStr">
        <is>
          <t>2005m10</t>
        </is>
      </c>
      <c r="C71" s="5">
        <f>100*LN(LEVEL!C71)</f>
        <v/>
      </c>
      <c r="D71" s="5">
        <f>100*LN(LEVEL!D71)</f>
        <v/>
      </c>
      <c r="E71" s="5">
        <f>100*LN(LEVEL!E71)</f>
        <v/>
      </c>
      <c r="F71" s="5">
        <f>LEVEL!F71</f>
        <v/>
      </c>
      <c r="G71" s="5">
        <f>LEVEL!G71</f>
        <v/>
      </c>
      <c r="H71" s="5">
        <f>100*LN(LEVEL!H71)</f>
        <v/>
      </c>
      <c r="I71" s="5">
        <f>100*LN(LEVEL!I71)</f>
        <v/>
      </c>
      <c r="J71" s="5">
        <f>100*LN(LEVEL!J71)</f>
        <v/>
      </c>
      <c r="K71" s="5">
        <f>100*LN(LEVEL!K71)</f>
        <v/>
      </c>
      <c r="L71" s="5">
        <f>LEVEL!L71</f>
        <v/>
      </c>
      <c r="M71" s="5">
        <f>LEVEL!M71</f>
        <v/>
      </c>
      <c r="N71" s="5">
        <f>100*LN(LEVEL!N71)</f>
        <v/>
      </c>
      <c r="O71" s="5">
        <f>100*LN(LEVEL!O71)</f>
        <v/>
      </c>
      <c r="P71" s="6">
        <f>IF(AND(YEAR($A71)=2020,MONTH($A71)=3),1,0)</f>
        <v/>
      </c>
      <c r="Q71" s="6">
        <f>IF(AND(YEAR($A71)=2020,MONTH($A71)=4),1,0)</f>
        <v/>
      </c>
      <c r="R71" s="6">
        <f>IF(AND(YEAR($A71)=2020,MONTH($A71)=5),1,0)</f>
        <v/>
      </c>
      <c r="S71" s="6">
        <f>IF(AND(YEAR($A71)=2020,MONTH($A71)=6),1,0)</f>
        <v/>
      </c>
    </row>
    <row r="72">
      <c r="A72" s="3" t="n">
        <v>38657</v>
      </c>
      <c r="B72" s="4" t="inlineStr">
        <is>
          <t>2005m11</t>
        </is>
      </c>
      <c r="C72" s="5">
        <f>100*LN(LEVEL!C72)</f>
        <v/>
      </c>
      <c r="D72" s="5">
        <f>100*LN(LEVEL!D72)</f>
        <v/>
      </c>
      <c r="E72" s="5">
        <f>100*LN(LEVEL!E72)</f>
        <v/>
      </c>
      <c r="F72" s="5">
        <f>LEVEL!F72</f>
        <v/>
      </c>
      <c r="G72" s="5">
        <f>LEVEL!G72</f>
        <v/>
      </c>
      <c r="H72" s="5">
        <f>100*LN(LEVEL!H72)</f>
        <v/>
      </c>
      <c r="I72" s="5">
        <f>100*LN(LEVEL!I72)</f>
        <v/>
      </c>
      <c r="J72" s="5">
        <f>100*LN(LEVEL!J72)</f>
        <v/>
      </c>
      <c r="K72" s="5">
        <f>100*LN(LEVEL!K72)</f>
        <v/>
      </c>
      <c r="L72" s="5">
        <f>LEVEL!L72</f>
        <v/>
      </c>
      <c r="M72" s="5">
        <f>LEVEL!M72</f>
        <v/>
      </c>
      <c r="N72" s="5">
        <f>100*LN(LEVEL!N72)</f>
        <v/>
      </c>
      <c r="O72" s="5">
        <f>100*LN(LEVEL!O72)</f>
        <v/>
      </c>
      <c r="P72" s="6">
        <f>IF(AND(YEAR($A72)=2020,MONTH($A72)=3),1,0)</f>
        <v/>
      </c>
      <c r="Q72" s="6">
        <f>IF(AND(YEAR($A72)=2020,MONTH($A72)=4),1,0)</f>
        <v/>
      </c>
      <c r="R72" s="6">
        <f>IF(AND(YEAR($A72)=2020,MONTH($A72)=5),1,0)</f>
        <v/>
      </c>
      <c r="S72" s="6">
        <f>IF(AND(YEAR($A72)=2020,MONTH($A72)=6),1,0)</f>
        <v/>
      </c>
    </row>
    <row r="73">
      <c r="A73" s="3" t="n">
        <v>38687</v>
      </c>
      <c r="B73" s="4" t="inlineStr">
        <is>
          <t>2005m12</t>
        </is>
      </c>
      <c r="C73" s="5">
        <f>100*LN(LEVEL!C73)</f>
        <v/>
      </c>
      <c r="D73" s="5">
        <f>100*LN(LEVEL!D73)</f>
        <v/>
      </c>
      <c r="E73" s="5">
        <f>100*LN(LEVEL!E73)</f>
        <v/>
      </c>
      <c r="F73" s="5">
        <f>LEVEL!F73</f>
        <v/>
      </c>
      <c r="G73" s="5">
        <f>LEVEL!G73</f>
        <v/>
      </c>
      <c r="H73" s="5">
        <f>100*LN(LEVEL!H73)</f>
        <v/>
      </c>
      <c r="I73" s="5">
        <f>100*LN(LEVEL!I73)</f>
        <v/>
      </c>
      <c r="J73" s="5">
        <f>100*LN(LEVEL!J73)</f>
        <v/>
      </c>
      <c r="K73" s="5">
        <f>100*LN(LEVEL!K73)</f>
        <v/>
      </c>
      <c r="L73" s="5">
        <f>LEVEL!L73</f>
        <v/>
      </c>
      <c r="M73" s="5">
        <f>LEVEL!M73</f>
        <v/>
      </c>
      <c r="N73" s="5">
        <f>100*LN(LEVEL!N73)</f>
        <v/>
      </c>
      <c r="O73" s="5">
        <f>100*LN(LEVEL!O73)</f>
        <v/>
      </c>
      <c r="P73" s="6">
        <f>IF(AND(YEAR($A73)=2020,MONTH($A73)=3),1,0)</f>
        <v/>
      </c>
      <c r="Q73" s="6">
        <f>IF(AND(YEAR($A73)=2020,MONTH($A73)=4),1,0)</f>
        <v/>
      </c>
      <c r="R73" s="6">
        <f>IF(AND(YEAR($A73)=2020,MONTH($A73)=5),1,0)</f>
        <v/>
      </c>
      <c r="S73" s="6">
        <f>IF(AND(YEAR($A73)=2020,MONTH($A73)=6),1,0)</f>
        <v/>
      </c>
    </row>
    <row r="74">
      <c r="A74" s="3" t="n">
        <v>38718</v>
      </c>
      <c r="B74" s="4" t="inlineStr">
        <is>
          <t>2006m1</t>
        </is>
      </c>
      <c r="C74" s="5">
        <f>100*LN(LEVEL!C74)</f>
        <v/>
      </c>
      <c r="D74" s="5">
        <f>100*LN(LEVEL!D74)</f>
        <v/>
      </c>
      <c r="E74" s="5">
        <f>100*LN(LEVEL!E74)</f>
        <v/>
      </c>
      <c r="F74" s="5">
        <f>LEVEL!F74</f>
        <v/>
      </c>
      <c r="G74" s="5">
        <f>LEVEL!G74</f>
        <v/>
      </c>
      <c r="H74" s="5">
        <f>100*LN(LEVEL!H74)</f>
        <v/>
      </c>
      <c r="I74" s="5">
        <f>100*LN(LEVEL!I74)</f>
        <v/>
      </c>
      <c r="J74" s="5">
        <f>100*LN(LEVEL!J74)</f>
        <v/>
      </c>
      <c r="K74" s="5">
        <f>100*LN(LEVEL!K74)</f>
        <v/>
      </c>
      <c r="L74" s="5">
        <f>LEVEL!L74</f>
        <v/>
      </c>
      <c r="M74" s="5">
        <f>LEVEL!M74</f>
        <v/>
      </c>
      <c r="N74" s="5">
        <f>100*LN(LEVEL!N74)</f>
        <v/>
      </c>
      <c r="O74" s="5">
        <f>100*LN(LEVEL!O74)</f>
        <v/>
      </c>
      <c r="P74" s="6">
        <f>IF(AND(YEAR($A74)=2020,MONTH($A74)=3),1,0)</f>
        <v/>
      </c>
      <c r="Q74" s="6">
        <f>IF(AND(YEAR($A74)=2020,MONTH($A74)=4),1,0)</f>
        <v/>
      </c>
      <c r="R74" s="6">
        <f>IF(AND(YEAR($A74)=2020,MONTH($A74)=5),1,0)</f>
        <v/>
      </c>
      <c r="S74" s="6">
        <f>IF(AND(YEAR($A74)=2020,MONTH($A74)=6),1,0)</f>
        <v/>
      </c>
    </row>
    <row r="75">
      <c r="A75" s="3" t="n">
        <v>38749</v>
      </c>
      <c r="B75" s="4" t="inlineStr">
        <is>
          <t>2006m2</t>
        </is>
      </c>
      <c r="C75" s="5">
        <f>100*LN(LEVEL!C75)</f>
        <v/>
      </c>
      <c r="D75" s="5">
        <f>100*LN(LEVEL!D75)</f>
        <v/>
      </c>
      <c r="E75" s="5">
        <f>100*LN(LEVEL!E75)</f>
        <v/>
      </c>
      <c r="F75" s="5">
        <f>LEVEL!F75</f>
        <v/>
      </c>
      <c r="G75" s="5">
        <f>LEVEL!G75</f>
        <v/>
      </c>
      <c r="H75" s="5">
        <f>100*LN(LEVEL!H75)</f>
        <v/>
      </c>
      <c r="I75" s="5">
        <f>100*LN(LEVEL!I75)</f>
        <v/>
      </c>
      <c r="J75" s="5">
        <f>100*LN(LEVEL!J75)</f>
        <v/>
      </c>
      <c r="K75" s="5">
        <f>100*LN(LEVEL!K75)</f>
        <v/>
      </c>
      <c r="L75" s="5">
        <f>LEVEL!L75</f>
        <v/>
      </c>
      <c r="M75" s="5">
        <f>LEVEL!M75</f>
        <v/>
      </c>
      <c r="N75" s="5">
        <f>100*LN(LEVEL!N75)</f>
        <v/>
      </c>
      <c r="O75" s="5">
        <f>100*LN(LEVEL!O75)</f>
        <v/>
      </c>
      <c r="P75" s="6">
        <f>IF(AND(YEAR($A75)=2020,MONTH($A75)=3),1,0)</f>
        <v/>
      </c>
      <c r="Q75" s="6">
        <f>IF(AND(YEAR($A75)=2020,MONTH($A75)=4),1,0)</f>
        <v/>
      </c>
      <c r="R75" s="6">
        <f>IF(AND(YEAR($A75)=2020,MONTH($A75)=5),1,0)</f>
        <v/>
      </c>
      <c r="S75" s="6">
        <f>IF(AND(YEAR($A75)=2020,MONTH($A75)=6),1,0)</f>
        <v/>
      </c>
    </row>
    <row r="76">
      <c r="A76" s="3" t="n">
        <v>38777</v>
      </c>
      <c r="B76" s="4" t="inlineStr">
        <is>
          <t>2006m3</t>
        </is>
      </c>
      <c r="C76" s="5">
        <f>100*LN(LEVEL!C76)</f>
        <v/>
      </c>
      <c r="D76" s="5">
        <f>100*LN(LEVEL!D76)</f>
        <v/>
      </c>
      <c r="E76" s="5">
        <f>100*LN(LEVEL!E76)</f>
        <v/>
      </c>
      <c r="F76" s="5">
        <f>LEVEL!F76</f>
        <v/>
      </c>
      <c r="G76" s="5">
        <f>LEVEL!G76</f>
        <v/>
      </c>
      <c r="H76" s="5">
        <f>100*LN(LEVEL!H76)</f>
        <v/>
      </c>
      <c r="I76" s="5">
        <f>100*LN(LEVEL!I76)</f>
        <v/>
      </c>
      <c r="J76" s="5">
        <f>100*LN(LEVEL!J76)</f>
        <v/>
      </c>
      <c r="K76" s="5">
        <f>100*LN(LEVEL!K76)</f>
        <v/>
      </c>
      <c r="L76" s="5">
        <f>LEVEL!L76</f>
        <v/>
      </c>
      <c r="M76" s="5">
        <f>LEVEL!M76</f>
        <v/>
      </c>
      <c r="N76" s="5">
        <f>100*LN(LEVEL!N76)</f>
        <v/>
      </c>
      <c r="O76" s="5">
        <f>100*LN(LEVEL!O76)</f>
        <v/>
      </c>
      <c r="P76" s="6">
        <f>IF(AND(YEAR($A76)=2020,MONTH($A76)=3),1,0)</f>
        <v/>
      </c>
      <c r="Q76" s="6">
        <f>IF(AND(YEAR($A76)=2020,MONTH($A76)=4),1,0)</f>
        <v/>
      </c>
      <c r="R76" s="6">
        <f>IF(AND(YEAR($A76)=2020,MONTH($A76)=5),1,0)</f>
        <v/>
      </c>
      <c r="S76" s="6">
        <f>IF(AND(YEAR($A76)=2020,MONTH($A76)=6),1,0)</f>
        <v/>
      </c>
    </row>
    <row r="77">
      <c r="A77" s="3" t="n">
        <v>38808</v>
      </c>
      <c r="B77" s="4" t="inlineStr">
        <is>
          <t>2006m4</t>
        </is>
      </c>
      <c r="C77" s="5">
        <f>100*LN(LEVEL!C77)</f>
        <v/>
      </c>
      <c r="D77" s="5">
        <f>100*LN(LEVEL!D77)</f>
        <v/>
      </c>
      <c r="E77" s="5">
        <f>100*LN(LEVEL!E77)</f>
        <v/>
      </c>
      <c r="F77" s="5">
        <f>LEVEL!F77</f>
        <v/>
      </c>
      <c r="G77" s="5">
        <f>LEVEL!G77</f>
        <v/>
      </c>
      <c r="H77" s="5">
        <f>100*LN(LEVEL!H77)</f>
        <v/>
      </c>
      <c r="I77" s="5">
        <f>100*LN(LEVEL!I77)</f>
        <v/>
      </c>
      <c r="J77" s="5">
        <f>100*LN(LEVEL!J77)</f>
        <v/>
      </c>
      <c r="K77" s="5">
        <f>100*LN(LEVEL!K77)</f>
        <v/>
      </c>
      <c r="L77" s="5">
        <f>LEVEL!L77</f>
        <v/>
      </c>
      <c r="M77" s="5">
        <f>LEVEL!M77</f>
        <v/>
      </c>
      <c r="N77" s="5">
        <f>100*LN(LEVEL!N77)</f>
        <v/>
      </c>
      <c r="O77" s="5">
        <f>100*LN(LEVEL!O77)</f>
        <v/>
      </c>
      <c r="P77" s="6">
        <f>IF(AND(YEAR($A77)=2020,MONTH($A77)=3),1,0)</f>
        <v/>
      </c>
      <c r="Q77" s="6">
        <f>IF(AND(YEAR($A77)=2020,MONTH($A77)=4),1,0)</f>
        <v/>
      </c>
      <c r="R77" s="6">
        <f>IF(AND(YEAR($A77)=2020,MONTH($A77)=5),1,0)</f>
        <v/>
      </c>
      <c r="S77" s="6">
        <f>IF(AND(YEAR($A77)=2020,MONTH($A77)=6),1,0)</f>
        <v/>
      </c>
    </row>
    <row r="78">
      <c r="A78" s="3" t="n">
        <v>38838</v>
      </c>
      <c r="B78" s="4" t="inlineStr">
        <is>
          <t>2006m5</t>
        </is>
      </c>
      <c r="C78" s="5">
        <f>100*LN(LEVEL!C78)</f>
        <v/>
      </c>
      <c r="D78" s="5">
        <f>100*LN(LEVEL!D78)</f>
        <v/>
      </c>
      <c r="E78" s="5">
        <f>100*LN(LEVEL!E78)</f>
        <v/>
      </c>
      <c r="F78" s="5">
        <f>LEVEL!F78</f>
        <v/>
      </c>
      <c r="G78" s="5">
        <f>LEVEL!G78</f>
        <v/>
      </c>
      <c r="H78" s="5">
        <f>100*LN(LEVEL!H78)</f>
        <v/>
      </c>
      <c r="I78" s="5">
        <f>100*LN(LEVEL!I78)</f>
        <v/>
      </c>
      <c r="J78" s="5">
        <f>100*LN(LEVEL!J78)</f>
        <v/>
      </c>
      <c r="K78" s="5">
        <f>100*LN(LEVEL!K78)</f>
        <v/>
      </c>
      <c r="L78" s="5">
        <f>LEVEL!L78</f>
        <v/>
      </c>
      <c r="M78" s="5">
        <f>LEVEL!M78</f>
        <v/>
      </c>
      <c r="N78" s="5">
        <f>100*LN(LEVEL!N78)</f>
        <v/>
      </c>
      <c r="O78" s="5">
        <f>100*LN(LEVEL!O78)</f>
        <v/>
      </c>
      <c r="P78" s="6">
        <f>IF(AND(YEAR($A78)=2020,MONTH($A78)=3),1,0)</f>
        <v/>
      </c>
      <c r="Q78" s="6">
        <f>IF(AND(YEAR($A78)=2020,MONTH($A78)=4),1,0)</f>
        <v/>
      </c>
      <c r="R78" s="6">
        <f>IF(AND(YEAR($A78)=2020,MONTH($A78)=5),1,0)</f>
        <v/>
      </c>
      <c r="S78" s="6">
        <f>IF(AND(YEAR($A78)=2020,MONTH($A78)=6),1,0)</f>
        <v/>
      </c>
    </row>
    <row r="79">
      <c r="A79" s="3" t="n">
        <v>38869</v>
      </c>
      <c r="B79" s="4" t="inlineStr">
        <is>
          <t>2006m6</t>
        </is>
      </c>
      <c r="C79" s="5">
        <f>100*LN(LEVEL!C79)</f>
        <v/>
      </c>
      <c r="D79" s="5">
        <f>100*LN(LEVEL!D79)</f>
        <v/>
      </c>
      <c r="E79" s="5">
        <f>100*LN(LEVEL!E79)</f>
        <v/>
      </c>
      <c r="F79" s="5">
        <f>LEVEL!F79</f>
        <v/>
      </c>
      <c r="G79" s="5">
        <f>LEVEL!G79</f>
        <v/>
      </c>
      <c r="H79" s="5">
        <f>100*LN(LEVEL!H79)</f>
        <v/>
      </c>
      <c r="I79" s="5">
        <f>100*LN(LEVEL!I79)</f>
        <v/>
      </c>
      <c r="J79" s="5">
        <f>100*LN(LEVEL!J79)</f>
        <v/>
      </c>
      <c r="K79" s="5">
        <f>100*LN(LEVEL!K79)</f>
        <v/>
      </c>
      <c r="L79" s="5">
        <f>LEVEL!L79</f>
        <v/>
      </c>
      <c r="M79" s="5">
        <f>LEVEL!M79</f>
        <v/>
      </c>
      <c r="N79" s="5">
        <f>100*LN(LEVEL!N79)</f>
        <v/>
      </c>
      <c r="O79" s="5">
        <f>100*LN(LEVEL!O79)</f>
        <v/>
      </c>
      <c r="P79" s="6">
        <f>IF(AND(YEAR($A79)=2020,MONTH($A79)=3),1,0)</f>
        <v/>
      </c>
      <c r="Q79" s="6">
        <f>IF(AND(YEAR($A79)=2020,MONTH($A79)=4),1,0)</f>
        <v/>
      </c>
      <c r="R79" s="6">
        <f>IF(AND(YEAR($A79)=2020,MONTH($A79)=5),1,0)</f>
        <v/>
      </c>
      <c r="S79" s="6">
        <f>IF(AND(YEAR($A79)=2020,MONTH($A79)=6),1,0)</f>
        <v/>
      </c>
    </row>
    <row r="80">
      <c r="A80" s="3" t="n">
        <v>38899</v>
      </c>
      <c r="B80" s="4" t="inlineStr">
        <is>
          <t>2006m7</t>
        </is>
      </c>
      <c r="C80" s="5">
        <f>100*LN(LEVEL!C80)</f>
        <v/>
      </c>
      <c r="D80" s="5">
        <f>100*LN(LEVEL!D80)</f>
        <v/>
      </c>
      <c r="E80" s="5">
        <f>100*LN(LEVEL!E80)</f>
        <v/>
      </c>
      <c r="F80" s="5">
        <f>LEVEL!F80</f>
        <v/>
      </c>
      <c r="G80" s="5">
        <f>LEVEL!G80</f>
        <v/>
      </c>
      <c r="H80" s="5">
        <f>100*LN(LEVEL!H80)</f>
        <v/>
      </c>
      <c r="I80" s="5">
        <f>100*LN(LEVEL!I80)</f>
        <v/>
      </c>
      <c r="J80" s="5">
        <f>100*LN(LEVEL!J80)</f>
        <v/>
      </c>
      <c r="K80" s="5">
        <f>100*LN(LEVEL!K80)</f>
        <v/>
      </c>
      <c r="L80" s="5">
        <f>LEVEL!L80</f>
        <v/>
      </c>
      <c r="M80" s="5">
        <f>LEVEL!M80</f>
        <v/>
      </c>
      <c r="N80" s="5">
        <f>100*LN(LEVEL!N80)</f>
        <v/>
      </c>
      <c r="O80" s="5">
        <f>100*LN(LEVEL!O80)</f>
        <v/>
      </c>
      <c r="P80" s="6">
        <f>IF(AND(YEAR($A80)=2020,MONTH($A80)=3),1,0)</f>
        <v/>
      </c>
      <c r="Q80" s="6">
        <f>IF(AND(YEAR($A80)=2020,MONTH($A80)=4),1,0)</f>
        <v/>
      </c>
      <c r="R80" s="6">
        <f>IF(AND(YEAR($A80)=2020,MONTH($A80)=5),1,0)</f>
        <v/>
      </c>
      <c r="S80" s="6">
        <f>IF(AND(YEAR($A80)=2020,MONTH($A80)=6),1,0)</f>
        <v/>
      </c>
    </row>
    <row r="81">
      <c r="A81" s="3" t="n">
        <v>38930</v>
      </c>
      <c r="B81" s="4" t="inlineStr">
        <is>
          <t>2006m8</t>
        </is>
      </c>
      <c r="C81" s="5">
        <f>100*LN(LEVEL!C81)</f>
        <v/>
      </c>
      <c r="D81" s="5">
        <f>100*LN(LEVEL!D81)</f>
        <v/>
      </c>
      <c r="E81" s="5">
        <f>100*LN(LEVEL!E81)</f>
        <v/>
      </c>
      <c r="F81" s="5">
        <f>LEVEL!F81</f>
        <v/>
      </c>
      <c r="G81" s="5">
        <f>LEVEL!G81</f>
        <v/>
      </c>
      <c r="H81" s="5">
        <f>100*LN(LEVEL!H81)</f>
        <v/>
      </c>
      <c r="I81" s="5">
        <f>100*LN(LEVEL!I81)</f>
        <v/>
      </c>
      <c r="J81" s="5">
        <f>100*LN(LEVEL!J81)</f>
        <v/>
      </c>
      <c r="K81" s="5">
        <f>100*LN(LEVEL!K81)</f>
        <v/>
      </c>
      <c r="L81" s="5">
        <f>LEVEL!L81</f>
        <v/>
      </c>
      <c r="M81" s="5">
        <f>LEVEL!M81</f>
        <v/>
      </c>
      <c r="N81" s="5">
        <f>100*LN(LEVEL!N81)</f>
        <v/>
      </c>
      <c r="O81" s="5">
        <f>100*LN(LEVEL!O81)</f>
        <v/>
      </c>
      <c r="P81" s="6">
        <f>IF(AND(YEAR($A81)=2020,MONTH($A81)=3),1,0)</f>
        <v/>
      </c>
      <c r="Q81" s="6">
        <f>IF(AND(YEAR($A81)=2020,MONTH($A81)=4),1,0)</f>
        <v/>
      </c>
      <c r="R81" s="6">
        <f>IF(AND(YEAR($A81)=2020,MONTH($A81)=5),1,0)</f>
        <v/>
      </c>
      <c r="S81" s="6">
        <f>IF(AND(YEAR($A81)=2020,MONTH($A81)=6),1,0)</f>
        <v/>
      </c>
    </row>
    <row r="82">
      <c r="A82" s="3" t="n">
        <v>38961</v>
      </c>
      <c r="B82" s="4" t="inlineStr">
        <is>
          <t>2006m9</t>
        </is>
      </c>
      <c r="C82" s="5">
        <f>100*LN(LEVEL!C82)</f>
        <v/>
      </c>
      <c r="D82" s="5">
        <f>100*LN(LEVEL!D82)</f>
        <v/>
      </c>
      <c r="E82" s="5">
        <f>100*LN(LEVEL!E82)</f>
        <v/>
      </c>
      <c r="F82" s="5">
        <f>LEVEL!F82</f>
        <v/>
      </c>
      <c r="G82" s="5">
        <f>LEVEL!G82</f>
        <v/>
      </c>
      <c r="H82" s="5">
        <f>100*LN(LEVEL!H82)</f>
        <v/>
      </c>
      <c r="I82" s="5">
        <f>100*LN(LEVEL!I82)</f>
        <v/>
      </c>
      <c r="J82" s="5">
        <f>100*LN(LEVEL!J82)</f>
        <v/>
      </c>
      <c r="K82" s="5">
        <f>100*LN(LEVEL!K82)</f>
        <v/>
      </c>
      <c r="L82" s="5">
        <f>LEVEL!L82</f>
        <v/>
      </c>
      <c r="M82" s="5">
        <f>LEVEL!M82</f>
        <v/>
      </c>
      <c r="N82" s="5">
        <f>100*LN(LEVEL!N82)</f>
        <v/>
      </c>
      <c r="O82" s="5">
        <f>100*LN(LEVEL!O82)</f>
        <v/>
      </c>
      <c r="P82" s="6">
        <f>IF(AND(YEAR($A82)=2020,MONTH($A82)=3),1,0)</f>
        <v/>
      </c>
      <c r="Q82" s="6">
        <f>IF(AND(YEAR($A82)=2020,MONTH($A82)=4),1,0)</f>
        <v/>
      </c>
      <c r="R82" s="6">
        <f>IF(AND(YEAR($A82)=2020,MONTH($A82)=5),1,0)</f>
        <v/>
      </c>
      <c r="S82" s="6">
        <f>IF(AND(YEAR($A82)=2020,MONTH($A82)=6),1,0)</f>
        <v/>
      </c>
    </row>
    <row r="83">
      <c r="A83" s="3" t="n">
        <v>38991</v>
      </c>
      <c r="B83" s="4" t="inlineStr">
        <is>
          <t>2006m10</t>
        </is>
      </c>
      <c r="C83" s="5">
        <f>100*LN(LEVEL!C83)</f>
        <v/>
      </c>
      <c r="D83" s="5">
        <f>100*LN(LEVEL!D83)</f>
        <v/>
      </c>
      <c r="E83" s="5">
        <f>100*LN(LEVEL!E83)</f>
        <v/>
      </c>
      <c r="F83" s="5">
        <f>LEVEL!F83</f>
        <v/>
      </c>
      <c r="G83" s="5">
        <f>LEVEL!G83</f>
        <v/>
      </c>
      <c r="H83" s="5">
        <f>100*LN(LEVEL!H83)</f>
        <v/>
      </c>
      <c r="I83" s="5">
        <f>100*LN(LEVEL!I83)</f>
        <v/>
      </c>
      <c r="J83" s="5">
        <f>100*LN(LEVEL!J83)</f>
        <v/>
      </c>
      <c r="K83" s="5">
        <f>100*LN(LEVEL!K83)</f>
        <v/>
      </c>
      <c r="L83" s="5">
        <f>LEVEL!L83</f>
        <v/>
      </c>
      <c r="M83" s="5">
        <f>LEVEL!M83</f>
        <v/>
      </c>
      <c r="N83" s="5">
        <f>100*LN(LEVEL!N83)</f>
        <v/>
      </c>
      <c r="O83" s="5">
        <f>100*LN(LEVEL!O83)</f>
        <v/>
      </c>
      <c r="P83" s="6">
        <f>IF(AND(YEAR($A83)=2020,MONTH($A83)=3),1,0)</f>
        <v/>
      </c>
      <c r="Q83" s="6">
        <f>IF(AND(YEAR($A83)=2020,MONTH($A83)=4),1,0)</f>
        <v/>
      </c>
      <c r="R83" s="6">
        <f>IF(AND(YEAR($A83)=2020,MONTH($A83)=5),1,0)</f>
        <v/>
      </c>
      <c r="S83" s="6">
        <f>IF(AND(YEAR($A83)=2020,MONTH($A83)=6),1,0)</f>
        <v/>
      </c>
    </row>
    <row r="84">
      <c r="A84" s="3" t="n">
        <v>39022</v>
      </c>
      <c r="B84" s="4" t="inlineStr">
        <is>
          <t>2006m11</t>
        </is>
      </c>
      <c r="C84" s="5">
        <f>100*LN(LEVEL!C84)</f>
        <v/>
      </c>
      <c r="D84" s="5">
        <f>100*LN(LEVEL!D84)</f>
        <v/>
      </c>
      <c r="E84" s="5">
        <f>100*LN(LEVEL!E84)</f>
        <v/>
      </c>
      <c r="F84" s="5">
        <f>LEVEL!F84</f>
        <v/>
      </c>
      <c r="G84" s="5">
        <f>LEVEL!G84</f>
        <v/>
      </c>
      <c r="H84" s="5">
        <f>100*LN(LEVEL!H84)</f>
        <v/>
      </c>
      <c r="I84" s="5">
        <f>100*LN(LEVEL!I84)</f>
        <v/>
      </c>
      <c r="J84" s="5">
        <f>100*LN(LEVEL!J84)</f>
        <v/>
      </c>
      <c r="K84" s="5">
        <f>100*LN(LEVEL!K84)</f>
        <v/>
      </c>
      <c r="L84" s="5">
        <f>LEVEL!L84</f>
        <v/>
      </c>
      <c r="M84" s="5">
        <f>LEVEL!M84</f>
        <v/>
      </c>
      <c r="N84" s="5">
        <f>100*LN(LEVEL!N84)</f>
        <v/>
      </c>
      <c r="O84" s="5">
        <f>100*LN(LEVEL!O84)</f>
        <v/>
      </c>
      <c r="P84" s="6">
        <f>IF(AND(YEAR($A84)=2020,MONTH($A84)=3),1,0)</f>
        <v/>
      </c>
      <c r="Q84" s="6">
        <f>IF(AND(YEAR($A84)=2020,MONTH($A84)=4),1,0)</f>
        <v/>
      </c>
      <c r="R84" s="6">
        <f>IF(AND(YEAR($A84)=2020,MONTH($A84)=5),1,0)</f>
        <v/>
      </c>
      <c r="S84" s="6">
        <f>IF(AND(YEAR($A84)=2020,MONTH($A84)=6),1,0)</f>
        <v/>
      </c>
    </row>
    <row r="85">
      <c r="A85" s="3" t="n">
        <v>39052</v>
      </c>
      <c r="B85" s="4" t="inlineStr">
        <is>
          <t>2006m12</t>
        </is>
      </c>
      <c r="C85" s="5">
        <f>100*LN(LEVEL!C85)</f>
        <v/>
      </c>
      <c r="D85" s="5">
        <f>100*LN(LEVEL!D85)</f>
        <v/>
      </c>
      <c r="E85" s="5">
        <f>100*LN(LEVEL!E85)</f>
        <v/>
      </c>
      <c r="F85" s="5">
        <f>LEVEL!F85</f>
        <v/>
      </c>
      <c r="G85" s="5">
        <f>LEVEL!G85</f>
        <v/>
      </c>
      <c r="H85" s="5">
        <f>100*LN(LEVEL!H85)</f>
        <v/>
      </c>
      <c r="I85" s="5">
        <f>100*LN(LEVEL!I85)</f>
        <v/>
      </c>
      <c r="J85" s="5">
        <f>100*LN(LEVEL!J85)</f>
        <v/>
      </c>
      <c r="K85" s="5">
        <f>100*LN(LEVEL!K85)</f>
        <v/>
      </c>
      <c r="L85" s="5">
        <f>LEVEL!L85</f>
        <v/>
      </c>
      <c r="M85" s="5">
        <f>LEVEL!M85</f>
        <v/>
      </c>
      <c r="N85" s="5">
        <f>100*LN(LEVEL!N85)</f>
        <v/>
      </c>
      <c r="O85" s="5">
        <f>100*LN(LEVEL!O85)</f>
        <v/>
      </c>
      <c r="P85" s="6">
        <f>IF(AND(YEAR($A85)=2020,MONTH($A85)=3),1,0)</f>
        <v/>
      </c>
      <c r="Q85" s="6">
        <f>IF(AND(YEAR($A85)=2020,MONTH($A85)=4),1,0)</f>
        <v/>
      </c>
      <c r="R85" s="6">
        <f>IF(AND(YEAR($A85)=2020,MONTH($A85)=5),1,0)</f>
        <v/>
      </c>
      <c r="S85" s="6">
        <f>IF(AND(YEAR($A85)=2020,MONTH($A85)=6),1,0)</f>
        <v/>
      </c>
    </row>
    <row r="86">
      <c r="A86" s="3" t="n">
        <v>39083</v>
      </c>
      <c r="B86" s="4" t="inlineStr">
        <is>
          <t>2007m1</t>
        </is>
      </c>
      <c r="C86" s="5">
        <f>100*LN(LEVEL!C86)</f>
        <v/>
      </c>
      <c r="D86" s="5">
        <f>100*LN(LEVEL!D86)</f>
        <v/>
      </c>
      <c r="E86" s="5">
        <f>100*LN(LEVEL!E86)</f>
        <v/>
      </c>
      <c r="F86" s="5">
        <f>LEVEL!F86</f>
        <v/>
      </c>
      <c r="G86" s="5">
        <f>LEVEL!G86</f>
        <v/>
      </c>
      <c r="H86" s="5">
        <f>100*LN(LEVEL!H86)</f>
        <v/>
      </c>
      <c r="I86" s="5">
        <f>100*LN(LEVEL!I86)</f>
        <v/>
      </c>
      <c r="J86" s="5">
        <f>100*LN(LEVEL!J86)</f>
        <v/>
      </c>
      <c r="K86" s="5">
        <f>100*LN(LEVEL!K86)</f>
        <v/>
      </c>
      <c r="L86" s="5">
        <f>LEVEL!L86</f>
        <v/>
      </c>
      <c r="M86" s="5">
        <f>LEVEL!M86</f>
        <v/>
      </c>
      <c r="N86" s="5">
        <f>100*LN(LEVEL!N86)</f>
        <v/>
      </c>
      <c r="O86" s="5">
        <f>100*LN(LEVEL!O86)</f>
        <v/>
      </c>
      <c r="P86" s="6">
        <f>IF(AND(YEAR($A86)=2020,MONTH($A86)=3),1,0)</f>
        <v/>
      </c>
      <c r="Q86" s="6">
        <f>IF(AND(YEAR($A86)=2020,MONTH($A86)=4),1,0)</f>
        <v/>
      </c>
      <c r="R86" s="6">
        <f>IF(AND(YEAR($A86)=2020,MONTH($A86)=5),1,0)</f>
        <v/>
      </c>
      <c r="S86" s="6">
        <f>IF(AND(YEAR($A86)=2020,MONTH($A86)=6),1,0)</f>
        <v/>
      </c>
    </row>
    <row r="87">
      <c r="A87" s="3" t="n">
        <v>39114</v>
      </c>
      <c r="B87" s="4" t="inlineStr">
        <is>
          <t>2007m2</t>
        </is>
      </c>
      <c r="C87" s="5">
        <f>100*LN(LEVEL!C87)</f>
        <v/>
      </c>
      <c r="D87" s="5">
        <f>100*LN(LEVEL!D87)</f>
        <v/>
      </c>
      <c r="E87" s="5">
        <f>100*LN(LEVEL!E87)</f>
        <v/>
      </c>
      <c r="F87" s="5">
        <f>LEVEL!F87</f>
        <v/>
      </c>
      <c r="G87" s="5">
        <f>LEVEL!G87</f>
        <v/>
      </c>
      <c r="H87" s="5">
        <f>100*LN(LEVEL!H87)</f>
        <v/>
      </c>
      <c r="I87" s="5">
        <f>100*LN(LEVEL!I87)</f>
        <v/>
      </c>
      <c r="J87" s="5">
        <f>100*LN(LEVEL!J87)</f>
        <v/>
      </c>
      <c r="K87" s="5">
        <f>100*LN(LEVEL!K87)</f>
        <v/>
      </c>
      <c r="L87" s="5">
        <f>LEVEL!L87</f>
        <v/>
      </c>
      <c r="M87" s="5">
        <f>LEVEL!M87</f>
        <v/>
      </c>
      <c r="N87" s="5">
        <f>100*LN(LEVEL!N87)</f>
        <v/>
      </c>
      <c r="O87" s="5">
        <f>100*LN(LEVEL!O87)</f>
        <v/>
      </c>
      <c r="P87" s="6">
        <f>IF(AND(YEAR($A87)=2020,MONTH($A87)=3),1,0)</f>
        <v/>
      </c>
      <c r="Q87" s="6">
        <f>IF(AND(YEAR($A87)=2020,MONTH($A87)=4),1,0)</f>
        <v/>
      </c>
      <c r="R87" s="6">
        <f>IF(AND(YEAR($A87)=2020,MONTH($A87)=5),1,0)</f>
        <v/>
      </c>
      <c r="S87" s="6">
        <f>IF(AND(YEAR($A87)=2020,MONTH($A87)=6),1,0)</f>
        <v/>
      </c>
    </row>
    <row r="88">
      <c r="A88" s="3" t="n">
        <v>39142</v>
      </c>
      <c r="B88" s="4" t="inlineStr">
        <is>
          <t>2007m3</t>
        </is>
      </c>
      <c r="C88" s="5">
        <f>100*LN(LEVEL!C88)</f>
        <v/>
      </c>
      <c r="D88" s="5">
        <f>100*LN(LEVEL!D88)</f>
        <v/>
      </c>
      <c r="E88" s="5">
        <f>100*LN(LEVEL!E88)</f>
        <v/>
      </c>
      <c r="F88" s="5">
        <f>LEVEL!F88</f>
        <v/>
      </c>
      <c r="G88" s="5">
        <f>LEVEL!G88</f>
        <v/>
      </c>
      <c r="H88" s="5">
        <f>100*LN(LEVEL!H88)</f>
        <v/>
      </c>
      <c r="I88" s="5">
        <f>100*LN(LEVEL!I88)</f>
        <v/>
      </c>
      <c r="J88" s="5">
        <f>100*LN(LEVEL!J88)</f>
        <v/>
      </c>
      <c r="K88" s="5">
        <f>100*LN(LEVEL!K88)</f>
        <v/>
      </c>
      <c r="L88" s="5">
        <f>LEVEL!L88</f>
        <v/>
      </c>
      <c r="M88" s="5">
        <f>LEVEL!M88</f>
        <v/>
      </c>
      <c r="N88" s="5">
        <f>100*LN(LEVEL!N88)</f>
        <v/>
      </c>
      <c r="O88" s="5">
        <f>100*LN(LEVEL!O88)</f>
        <v/>
      </c>
      <c r="P88" s="6">
        <f>IF(AND(YEAR($A88)=2020,MONTH($A88)=3),1,0)</f>
        <v/>
      </c>
      <c r="Q88" s="6">
        <f>IF(AND(YEAR($A88)=2020,MONTH($A88)=4),1,0)</f>
        <v/>
      </c>
      <c r="R88" s="6">
        <f>IF(AND(YEAR($A88)=2020,MONTH($A88)=5),1,0)</f>
        <v/>
      </c>
      <c r="S88" s="6">
        <f>IF(AND(YEAR($A88)=2020,MONTH($A88)=6),1,0)</f>
        <v/>
      </c>
    </row>
    <row r="89">
      <c r="A89" s="3" t="n">
        <v>39173</v>
      </c>
      <c r="B89" s="4" t="inlineStr">
        <is>
          <t>2007m4</t>
        </is>
      </c>
      <c r="C89" s="5">
        <f>100*LN(LEVEL!C89)</f>
        <v/>
      </c>
      <c r="D89" s="5">
        <f>100*LN(LEVEL!D89)</f>
        <v/>
      </c>
      <c r="E89" s="5">
        <f>100*LN(LEVEL!E89)</f>
        <v/>
      </c>
      <c r="F89" s="5">
        <f>LEVEL!F89</f>
        <v/>
      </c>
      <c r="G89" s="5">
        <f>LEVEL!G89</f>
        <v/>
      </c>
      <c r="H89" s="5">
        <f>100*LN(LEVEL!H89)</f>
        <v/>
      </c>
      <c r="I89" s="5">
        <f>100*LN(LEVEL!I89)</f>
        <v/>
      </c>
      <c r="J89" s="5">
        <f>100*LN(LEVEL!J89)</f>
        <v/>
      </c>
      <c r="K89" s="5">
        <f>100*LN(LEVEL!K89)</f>
        <v/>
      </c>
      <c r="L89" s="5">
        <f>LEVEL!L89</f>
        <v/>
      </c>
      <c r="M89" s="5">
        <f>LEVEL!M89</f>
        <v/>
      </c>
      <c r="N89" s="5">
        <f>100*LN(LEVEL!N89)</f>
        <v/>
      </c>
      <c r="O89" s="5">
        <f>100*LN(LEVEL!O89)</f>
        <v/>
      </c>
      <c r="P89" s="6">
        <f>IF(AND(YEAR($A89)=2020,MONTH($A89)=3),1,0)</f>
        <v/>
      </c>
      <c r="Q89" s="6">
        <f>IF(AND(YEAR($A89)=2020,MONTH($A89)=4),1,0)</f>
        <v/>
      </c>
      <c r="R89" s="6">
        <f>IF(AND(YEAR($A89)=2020,MONTH($A89)=5),1,0)</f>
        <v/>
      </c>
      <c r="S89" s="6">
        <f>IF(AND(YEAR($A89)=2020,MONTH($A89)=6),1,0)</f>
        <v/>
      </c>
    </row>
    <row r="90">
      <c r="A90" s="3" t="n">
        <v>39203</v>
      </c>
      <c r="B90" s="4" t="inlineStr">
        <is>
          <t>2007m5</t>
        </is>
      </c>
      <c r="C90" s="5">
        <f>100*LN(LEVEL!C90)</f>
        <v/>
      </c>
      <c r="D90" s="5">
        <f>100*LN(LEVEL!D90)</f>
        <v/>
      </c>
      <c r="E90" s="5">
        <f>100*LN(LEVEL!E90)</f>
        <v/>
      </c>
      <c r="F90" s="5">
        <f>LEVEL!F90</f>
        <v/>
      </c>
      <c r="G90" s="5">
        <f>LEVEL!G90</f>
        <v/>
      </c>
      <c r="H90" s="5">
        <f>100*LN(LEVEL!H90)</f>
        <v/>
      </c>
      <c r="I90" s="5">
        <f>100*LN(LEVEL!I90)</f>
        <v/>
      </c>
      <c r="J90" s="5">
        <f>100*LN(LEVEL!J90)</f>
        <v/>
      </c>
      <c r="K90" s="5">
        <f>100*LN(LEVEL!K90)</f>
        <v/>
      </c>
      <c r="L90" s="5">
        <f>LEVEL!L90</f>
        <v/>
      </c>
      <c r="M90" s="5">
        <f>LEVEL!M90</f>
        <v/>
      </c>
      <c r="N90" s="5">
        <f>100*LN(LEVEL!N90)</f>
        <v/>
      </c>
      <c r="O90" s="5">
        <f>100*LN(LEVEL!O90)</f>
        <v/>
      </c>
      <c r="P90" s="6">
        <f>IF(AND(YEAR($A90)=2020,MONTH($A90)=3),1,0)</f>
        <v/>
      </c>
      <c r="Q90" s="6">
        <f>IF(AND(YEAR($A90)=2020,MONTH($A90)=4),1,0)</f>
        <v/>
      </c>
      <c r="R90" s="6">
        <f>IF(AND(YEAR($A90)=2020,MONTH($A90)=5),1,0)</f>
        <v/>
      </c>
      <c r="S90" s="6">
        <f>IF(AND(YEAR($A90)=2020,MONTH($A90)=6),1,0)</f>
        <v/>
      </c>
    </row>
    <row r="91">
      <c r="A91" s="3" t="n">
        <v>39234</v>
      </c>
      <c r="B91" s="4" t="inlineStr">
        <is>
          <t>2007m6</t>
        </is>
      </c>
      <c r="C91" s="5">
        <f>100*LN(LEVEL!C91)</f>
        <v/>
      </c>
      <c r="D91" s="5">
        <f>100*LN(LEVEL!D91)</f>
        <v/>
      </c>
      <c r="E91" s="5">
        <f>100*LN(LEVEL!E91)</f>
        <v/>
      </c>
      <c r="F91" s="5">
        <f>LEVEL!F91</f>
        <v/>
      </c>
      <c r="G91" s="5">
        <f>LEVEL!G91</f>
        <v/>
      </c>
      <c r="H91" s="5">
        <f>100*LN(LEVEL!H91)</f>
        <v/>
      </c>
      <c r="I91" s="5">
        <f>100*LN(LEVEL!I91)</f>
        <v/>
      </c>
      <c r="J91" s="5">
        <f>100*LN(LEVEL!J91)</f>
        <v/>
      </c>
      <c r="K91" s="5">
        <f>100*LN(LEVEL!K91)</f>
        <v/>
      </c>
      <c r="L91" s="5">
        <f>LEVEL!L91</f>
        <v/>
      </c>
      <c r="M91" s="5">
        <f>LEVEL!M91</f>
        <v/>
      </c>
      <c r="N91" s="5">
        <f>100*LN(LEVEL!N91)</f>
        <v/>
      </c>
      <c r="O91" s="5">
        <f>100*LN(LEVEL!O91)</f>
        <v/>
      </c>
      <c r="P91" s="6">
        <f>IF(AND(YEAR($A91)=2020,MONTH($A91)=3),1,0)</f>
        <v/>
      </c>
      <c r="Q91" s="6">
        <f>IF(AND(YEAR($A91)=2020,MONTH($A91)=4),1,0)</f>
        <v/>
      </c>
      <c r="R91" s="6">
        <f>IF(AND(YEAR($A91)=2020,MONTH($A91)=5),1,0)</f>
        <v/>
      </c>
      <c r="S91" s="6">
        <f>IF(AND(YEAR($A91)=2020,MONTH($A91)=6),1,0)</f>
        <v/>
      </c>
    </row>
    <row r="92">
      <c r="A92" s="3" t="n">
        <v>39264</v>
      </c>
      <c r="B92" s="4" t="inlineStr">
        <is>
          <t>2007m7</t>
        </is>
      </c>
      <c r="C92" s="5">
        <f>100*LN(LEVEL!C92)</f>
        <v/>
      </c>
      <c r="D92" s="5">
        <f>100*LN(LEVEL!D92)</f>
        <v/>
      </c>
      <c r="E92" s="5">
        <f>100*LN(LEVEL!E92)</f>
        <v/>
      </c>
      <c r="F92" s="5">
        <f>LEVEL!F92</f>
        <v/>
      </c>
      <c r="G92" s="5">
        <f>LEVEL!G92</f>
        <v/>
      </c>
      <c r="H92" s="5">
        <f>100*LN(LEVEL!H92)</f>
        <v/>
      </c>
      <c r="I92" s="5">
        <f>100*LN(LEVEL!I92)</f>
        <v/>
      </c>
      <c r="J92" s="5">
        <f>100*LN(LEVEL!J92)</f>
        <v/>
      </c>
      <c r="K92" s="5">
        <f>100*LN(LEVEL!K92)</f>
        <v/>
      </c>
      <c r="L92" s="5">
        <f>LEVEL!L92</f>
        <v/>
      </c>
      <c r="M92" s="5">
        <f>LEVEL!M92</f>
        <v/>
      </c>
      <c r="N92" s="5">
        <f>100*LN(LEVEL!N92)</f>
        <v/>
      </c>
      <c r="O92" s="5">
        <f>100*LN(LEVEL!O92)</f>
        <v/>
      </c>
      <c r="P92" s="6">
        <f>IF(AND(YEAR($A92)=2020,MONTH($A92)=3),1,0)</f>
        <v/>
      </c>
      <c r="Q92" s="6">
        <f>IF(AND(YEAR($A92)=2020,MONTH($A92)=4),1,0)</f>
        <v/>
      </c>
      <c r="R92" s="6">
        <f>IF(AND(YEAR($A92)=2020,MONTH($A92)=5),1,0)</f>
        <v/>
      </c>
      <c r="S92" s="6">
        <f>IF(AND(YEAR($A92)=2020,MONTH($A92)=6),1,0)</f>
        <v/>
      </c>
    </row>
    <row r="93">
      <c r="A93" s="3" t="n">
        <v>39295</v>
      </c>
      <c r="B93" s="4" t="inlineStr">
        <is>
          <t>2007m8</t>
        </is>
      </c>
      <c r="C93" s="5">
        <f>100*LN(LEVEL!C93)</f>
        <v/>
      </c>
      <c r="D93" s="5">
        <f>100*LN(LEVEL!D93)</f>
        <v/>
      </c>
      <c r="E93" s="5">
        <f>100*LN(LEVEL!E93)</f>
        <v/>
      </c>
      <c r="F93" s="5">
        <f>LEVEL!F93</f>
        <v/>
      </c>
      <c r="G93" s="5">
        <f>LEVEL!G93</f>
        <v/>
      </c>
      <c r="H93" s="5">
        <f>100*LN(LEVEL!H93)</f>
        <v/>
      </c>
      <c r="I93" s="5">
        <f>100*LN(LEVEL!I93)</f>
        <v/>
      </c>
      <c r="J93" s="5">
        <f>100*LN(LEVEL!J93)</f>
        <v/>
      </c>
      <c r="K93" s="5">
        <f>100*LN(LEVEL!K93)</f>
        <v/>
      </c>
      <c r="L93" s="5">
        <f>LEVEL!L93</f>
        <v/>
      </c>
      <c r="M93" s="5">
        <f>LEVEL!M93</f>
        <v/>
      </c>
      <c r="N93" s="5">
        <f>100*LN(LEVEL!N93)</f>
        <v/>
      </c>
      <c r="O93" s="5">
        <f>100*LN(LEVEL!O93)</f>
        <v/>
      </c>
      <c r="P93" s="6">
        <f>IF(AND(YEAR($A93)=2020,MONTH($A93)=3),1,0)</f>
        <v/>
      </c>
      <c r="Q93" s="6">
        <f>IF(AND(YEAR($A93)=2020,MONTH($A93)=4),1,0)</f>
        <v/>
      </c>
      <c r="R93" s="6">
        <f>IF(AND(YEAR($A93)=2020,MONTH($A93)=5),1,0)</f>
        <v/>
      </c>
      <c r="S93" s="6">
        <f>IF(AND(YEAR($A93)=2020,MONTH($A93)=6),1,0)</f>
        <v/>
      </c>
    </row>
    <row r="94">
      <c r="A94" s="3" t="n">
        <v>39326</v>
      </c>
      <c r="B94" s="4" t="inlineStr">
        <is>
          <t>2007m9</t>
        </is>
      </c>
      <c r="C94" s="5">
        <f>100*LN(LEVEL!C94)</f>
        <v/>
      </c>
      <c r="D94" s="5">
        <f>100*LN(LEVEL!D94)</f>
        <v/>
      </c>
      <c r="E94" s="5">
        <f>100*LN(LEVEL!E94)</f>
        <v/>
      </c>
      <c r="F94" s="5">
        <f>LEVEL!F94</f>
        <v/>
      </c>
      <c r="G94" s="5">
        <f>LEVEL!G94</f>
        <v/>
      </c>
      <c r="H94" s="5">
        <f>100*LN(LEVEL!H94)</f>
        <v/>
      </c>
      <c r="I94" s="5">
        <f>100*LN(LEVEL!I94)</f>
        <v/>
      </c>
      <c r="J94" s="5">
        <f>100*LN(LEVEL!J94)</f>
        <v/>
      </c>
      <c r="K94" s="5">
        <f>100*LN(LEVEL!K94)</f>
        <v/>
      </c>
      <c r="L94" s="5">
        <f>LEVEL!L94</f>
        <v/>
      </c>
      <c r="M94" s="5">
        <f>LEVEL!M94</f>
        <v/>
      </c>
      <c r="N94" s="5">
        <f>100*LN(LEVEL!N94)</f>
        <v/>
      </c>
      <c r="O94" s="5">
        <f>100*LN(LEVEL!O94)</f>
        <v/>
      </c>
      <c r="P94" s="6">
        <f>IF(AND(YEAR($A94)=2020,MONTH($A94)=3),1,0)</f>
        <v/>
      </c>
      <c r="Q94" s="6">
        <f>IF(AND(YEAR($A94)=2020,MONTH($A94)=4),1,0)</f>
        <v/>
      </c>
      <c r="R94" s="6">
        <f>IF(AND(YEAR($A94)=2020,MONTH($A94)=5),1,0)</f>
        <v/>
      </c>
      <c r="S94" s="6">
        <f>IF(AND(YEAR($A94)=2020,MONTH($A94)=6),1,0)</f>
        <v/>
      </c>
    </row>
    <row r="95">
      <c r="A95" s="3" t="n">
        <v>39356</v>
      </c>
      <c r="B95" s="4" t="inlineStr">
        <is>
          <t>2007m10</t>
        </is>
      </c>
      <c r="C95" s="5">
        <f>100*LN(LEVEL!C95)</f>
        <v/>
      </c>
      <c r="D95" s="5">
        <f>100*LN(LEVEL!D95)</f>
        <v/>
      </c>
      <c r="E95" s="5">
        <f>100*LN(LEVEL!E95)</f>
        <v/>
      </c>
      <c r="F95" s="5">
        <f>LEVEL!F95</f>
        <v/>
      </c>
      <c r="G95" s="5">
        <f>LEVEL!G95</f>
        <v/>
      </c>
      <c r="H95" s="5">
        <f>100*LN(LEVEL!H95)</f>
        <v/>
      </c>
      <c r="I95" s="5">
        <f>100*LN(LEVEL!I95)</f>
        <v/>
      </c>
      <c r="J95" s="5">
        <f>100*LN(LEVEL!J95)</f>
        <v/>
      </c>
      <c r="K95" s="5">
        <f>100*LN(LEVEL!K95)</f>
        <v/>
      </c>
      <c r="L95" s="5">
        <f>LEVEL!L95</f>
        <v/>
      </c>
      <c r="M95" s="5">
        <f>LEVEL!M95</f>
        <v/>
      </c>
      <c r="N95" s="5">
        <f>100*LN(LEVEL!N95)</f>
        <v/>
      </c>
      <c r="O95" s="5">
        <f>100*LN(LEVEL!O95)</f>
        <v/>
      </c>
      <c r="P95" s="6">
        <f>IF(AND(YEAR($A95)=2020,MONTH($A95)=3),1,0)</f>
        <v/>
      </c>
      <c r="Q95" s="6">
        <f>IF(AND(YEAR($A95)=2020,MONTH($A95)=4),1,0)</f>
        <v/>
      </c>
      <c r="R95" s="6">
        <f>IF(AND(YEAR($A95)=2020,MONTH($A95)=5),1,0)</f>
        <v/>
      </c>
      <c r="S95" s="6">
        <f>IF(AND(YEAR($A95)=2020,MONTH($A95)=6),1,0)</f>
        <v/>
      </c>
    </row>
    <row r="96">
      <c r="A96" s="3" t="n">
        <v>39387</v>
      </c>
      <c r="B96" s="4" t="inlineStr">
        <is>
          <t>2007m11</t>
        </is>
      </c>
      <c r="C96" s="5">
        <f>100*LN(LEVEL!C96)</f>
        <v/>
      </c>
      <c r="D96" s="5">
        <f>100*LN(LEVEL!D96)</f>
        <v/>
      </c>
      <c r="E96" s="5">
        <f>100*LN(LEVEL!E96)</f>
        <v/>
      </c>
      <c r="F96" s="5">
        <f>LEVEL!F96</f>
        <v/>
      </c>
      <c r="G96" s="5">
        <f>LEVEL!G96</f>
        <v/>
      </c>
      <c r="H96" s="5">
        <f>100*LN(LEVEL!H96)</f>
        <v/>
      </c>
      <c r="I96" s="5">
        <f>100*LN(LEVEL!I96)</f>
        <v/>
      </c>
      <c r="J96" s="5">
        <f>100*LN(LEVEL!J96)</f>
        <v/>
      </c>
      <c r="K96" s="5">
        <f>100*LN(LEVEL!K96)</f>
        <v/>
      </c>
      <c r="L96" s="5">
        <f>LEVEL!L96</f>
        <v/>
      </c>
      <c r="M96" s="5">
        <f>LEVEL!M96</f>
        <v/>
      </c>
      <c r="N96" s="5">
        <f>100*LN(LEVEL!N96)</f>
        <v/>
      </c>
      <c r="O96" s="5">
        <f>100*LN(LEVEL!O96)</f>
        <v/>
      </c>
      <c r="P96" s="6">
        <f>IF(AND(YEAR($A96)=2020,MONTH($A96)=3),1,0)</f>
        <v/>
      </c>
      <c r="Q96" s="6">
        <f>IF(AND(YEAR($A96)=2020,MONTH($A96)=4),1,0)</f>
        <v/>
      </c>
      <c r="R96" s="6">
        <f>IF(AND(YEAR($A96)=2020,MONTH($A96)=5),1,0)</f>
        <v/>
      </c>
      <c r="S96" s="6">
        <f>IF(AND(YEAR($A96)=2020,MONTH($A96)=6),1,0)</f>
        <v/>
      </c>
    </row>
    <row r="97">
      <c r="A97" s="3" t="n">
        <v>39417</v>
      </c>
      <c r="B97" s="4" t="inlineStr">
        <is>
          <t>2007m12</t>
        </is>
      </c>
      <c r="C97" s="5">
        <f>100*LN(LEVEL!C97)</f>
        <v/>
      </c>
      <c r="D97" s="5">
        <f>100*LN(LEVEL!D97)</f>
        <v/>
      </c>
      <c r="E97" s="5">
        <f>100*LN(LEVEL!E97)</f>
        <v/>
      </c>
      <c r="F97" s="5">
        <f>LEVEL!F97</f>
        <v/>
      </c>
      <c r="G97" s="5">
        <f>LEVEL!G97</f>
        <v/>
      </c>
      <c r="H97" s="5">
        <f>100*LN(LEVEL!H97)</f>
        <v/>
      </c>
      <c r="I97" s="5">
        <f>100*LN(LEVEL!I97)</f>
        <v/>
      </c>
      <c r="J97" s="5">
        <f>100*LN(LEVEL!J97)</f>
        <v/>
      </c>
      <c r="K97" s="5">
        <f>100*LN(LEVEL!K97)</f>
        <v/>
      </c>
      <c r="L97" s="5">
        <f>LEVEL!L97</f>
        <v/>
      </c>
      <c r="M97" s="5">
        <f>LEVEL!M97</f>
        <v/>
      </c>
      <c r="N97" s="5">
        <f>100*LN(LEVEL!N97)</f>
        <v/>
      </c>
      <c r="O97" s="5">
        <f>100*LN(LEVEL!O97)</f>
        <v/>
      </c>
      <c r="P97" s="6">
        <f>IF(AND(YEAR($A97)=2020,MONTH($A97)=3),1,0)</f>
        <v/>
      </c>
      <c r="Q97" s="6">
        <f>IF(AND(YEAR($A97)=2020,MONTH($A97)=4),1,0)</f>
        <v/>
      </c>
      <c r="R97" s="6">
        <f>IF(AND(YEAR($A97)=2020,MONTH($A97)=5),1,0)</f>
        <v/>
      </c>
      <c r="S97" s="6">
        <f>IF(AND(YEAR($A97)=2020,MONTH($A97)=6),1,0)</f>
        <v/>
      </c>
    </row>
    <row r="98">
      <c r="A98" s="3" t="n">
        <v>39448</v>
      </c>
      <c r="B98" s="4" t="inlineStr">
        <is>
          <t>2008m1</t>
        </is>
      </c>
      <c r="C98" s="5">
        <f>100*LN(LEVEL!C98)</f>
        <v/>
      </c>
      <c r="D98" s="5">
        <f>100*LN(LEVEL!D98)</f>
        <v/>
      </c>
      <c r="E98" s="5">
        <f>100*LN(LEVEL!E98)</f>
        <v/>
      </c>
      <c r="F98" s="5">
        <f>LEVEL!F98</f>
        <v/>
      </c>
      <c r="G98" s="5">
        <f>LEVEL!G98</f>
        <v/>
      </c>
      <c r="H98" s="5">
        <f>100*LN(LEVEL!H98)</f>
        <v/>
      </c>
      <c r="I98" s="5">
        <f>100*LN(LEVEL!I98)</f>
        <v/>
      </c>
      <c r="J98" s="5">
        <f>100*LN(LEVEL!J98)</f>
        <v/>
      </c>
      <c r="K98" s="5">
        <f>100*LN(LEVEL!K98)</f>
        <v/>
      </c>
      <c r="L98" s="5">
        <f>LEVEL!L98</f>
        <v/>
      </c>
      <c r="M98" s="5">
        <f>LEVEL!M98</f>
        <v/>
      </c>
      <c r="N98" s="5">
        <f>100*LN(LEVEL!N98)</f>
        <v/>
      </c>
      <c r="O98" s="5">
        <f>100*LN(LEVEL!O98)</f>
        <v/>
      </c>
      <c r="P98" s="6">
        <f>IF(AND(YEAR($A98)=2020,MONTH($A98)=3),1,0)</f>
        <v/>
      </c>
      <c r="Q98" s="6">
        <f>IF(AND(YEAR($A98)=2020,MONTH($A98)=4),1,0)</f>
        <v/>
      </c>
      <c r="R98" s="6">
        <f>IF(AND(YEAR($A98)=2020,MONTH($A98)=5),1,0)</f>
        <v/>
      </c>
      <c r="S98" s="6">
        <f>IF(AND(YEAR($A98)=2020,MONTH($A98)=6),1,0)</f>
        <v/>
      </c>
    </row>
    <row r="99">
      <c r="A99" s="3" t="n">
        <v>39479</v>
      </c>
      <c r="B99" s="4" t="inlineStr">
        <is>
          <t>2008m2</t>
        </is>
      </c>
      <c r="C99" s="5">
        <f>100*LN(LEVEL!C99)</f>
        <v/>
      </c>
      <c r="D99" s="5">
        <f>100*LN(LEVEL!D99)</f>
        <v/>
      </c>
      <c r="E99" s="5">
        <f>100*LN(LEVEL!E99)</f>
        <v/>
      </c>
      <c r="F99" s="5">
        <f>LEVEL!F99</f>
        <v/>
      </c>
      <c r="G99" s="5">
        <f>LEVEL!G99</f>
        <v/>
      </c>
      <c r="H99" s="5">
        <f>100*LN(LEVEL!H99)</f>
        <v/>
      </c>
      <c r="I99" s="5">
        <f>100*LN(LEVEL!I99)</f>
        <v/>
      </c>
      <c r="J99" s="5">
        <f>100*LN(LEVEL!J99)</f>
        <v/>
      </c>
      <c r="K99" s="5">
        <f>100*LN(LEVEL!K99)</f>
        <v/>
      </c>
      <c r="L99" s="5">
        <f>LEVEL!L99</f>
        <v/>
      </c>
      <c r="M99" s="5">
        <f>LEVEL!M99</f>
        <v/>
      </c>
      <c r="N99" s="5">
        <f>100*LN(LEVEL!N99)</f>
        <v/>
      </c>
      <c r="O99" s="5">
        <f>100*LN(LEVEL!O99)</f>
        <v/>
      </c>
      <c r="P99" s="6">
        <f>IF(AND(YEAR($A99)=2020,MONTH($A99)=3),1,0)</f>
        <v/>
      </c>
      <c r="Q99" s="6">
        <f>IF(AND(YEAR($A99)=2020,MONTH($A99)=4),1,0)</f>
        <v/>
      </c>
      <c r="R99" s="6">
        <f>IF(AND(YEAR($A99)=2020,MONTH($A99)=5),1,0)</f>
        <v/>
      </c>
      <c r="S99" s="6">
        <f>IF(AND(YEAR($A99)=2020,MONTH($A99)=6),1,0)</f>
        <v/>
      </c>
    </row>
    <row r="100">
      <c r="A100" s="3" t="n">
        <v>39508</v>
      </c>
      <c r="B100" s="4" t="inlineStr">
        <is>
          <t>2008m3</t>
        </is>
      </c>
      <c r="C100" s="5">
        <f>100*LN(LEVEL!C100)</f>
        <v/>
      </c>
      <c r="D100" s="5">
        <f>100*LN(LEVEL!D100)</f>
        <v/>
      </c>
      <c r="E100" s="5">
        <f>100*LN(LEVEL!E100)</f>
        <v/>
      </c>
      <c r="F100" s="5">
        <f>LEVEL!F100</f>
        <v/>
      </c>
      <c r="G100" s="5">
        <f>LEVEL!G100</f>
        <v/>
      </c>
      <c r="H100" s="5">
        <f>100*LN(LEVEL!H100)</f>
        <v/>
      </c>
      <c r="I100" s="5">
        <f>100*LN(LEVEL!I100)</f>
        <v/>
      </c>
      <c r="J100" s="5">
        <f>100*LN(LEVEL!J100)</f>
        <v/>
      </c>
      <c r="K100" s="5">
        <f>100*LN(LEVEL!K100)</f>
        <v/>
      </c>
      <c r="L100" s="5">
        <f>LEVEL!L100</f>
        <v/>
      </c>
      <c r="M100" s="5">
        <f>LEVEL!M100</f>
        <v/>
      </c>
      <c r="N100" s="5">
        <f>100*LN(LEVEL!N100)</f>
        <v/>
      </c>
      <c r="O100" s="5">
        <f>100*LN(LEVEL!O100)</f>
        <v/>
      </c>
      <c r="P100" s="6">
        <f>IF(AND(YEAR($A100)=2020,MONTH($A100)=3),1,0)</f>
        <v/>
      </c>
      <c r="Q100" s="6">
        <f>IF(AND(YEAR($A100)=2020,MONTH($A100)=4),1,0)</f>
        <v/>
      </c>
      <c r="R100" s="6">
        <f>IF(AND(YEAR($A100)=2020,MONTH($A100)=5),1,0)</f>
        <v/>
      </c>
      <c r="S100" s="6">
        <f>IF(AND(YEAR($A100)=2020,MONTH($A100)=6),1,0)</f>
        <v/>
      </c>
    </row>
    <row r="101">
      <c r="A101" s="3" t="n">
        <v>39539</v>
      </c>
      <c r="B101" s="4" t="inlineStr">
        <is>
          <t>2008m4</t>
        </is>
      </c>
      <c r="C101" s="5">
        <f>100*LN(LEVEL!C101)</f>
        <v/>
      </c>
      <c r="D101" s="5">
        <f>100*LN(LEVEL!D101)</f>
        <v/>
      </c>
      <c r="E101" s="5">
        <f>100*LN(LEVEL!E101)</f>
        <v/>
      </c>
      <c r="F101" s="5">
        <f>LEVEL!F101</f>
        <v/>
      </c>
      <c r="G101" s="5">
        <f>LEVEL!G101</f>
        <v/>
      </c>
      <c r="H101" s="5">
        <f>100*LN(LEVEL!H101)</f>
        <v/>
      </c>
      <c r="I101" s="5">
        <f>100*LN(LEVEL!I101)</f>
        <v/>
      </c>
      <c r="J101" s="5">
        <f>100*LN(LEVEL!J101)</f>
        <v/>
      </c>
      <c r="K101" s="5">
        <f>100*LN(LEVEL!K101)</f>
        <v/>
      </c>
      <c r="L101" s="5">
        <f>LEVEL!L101</f>
        <v/>
      </c>
      <c r="M101" s="5">
        <f>LEVEL!M101</f>
        <v/>
      </c>
      <c r="N101" s="5">
        <f>100*LN(LEVEL!N101)</f>
        <v/>
      </c>
      <c r="O101" s="5">
        <f>100*LN(LEVEL!O101)</f>
        <v/>
      </c>
      <c r="P101" s="6">
        <f>IF(AND(YEAR($A101)=2020,MONTH($A101)=3),1,0)</f>
        <v/>
      </c>
      <c r="Q101" s="6">
        <f>IF(AND(YEAR($A101)=2020,MONTH($A101)=4),1,0)</f>
        <v/>
      </c>
      <c r="R101" s="6">
        <f>IF(AND(YEAR($A101)=2020,MONTH($A101)=5),1,0)</f>
        <v/>
      </c>
      <c r="S101" s="6">
        <f>IF(AND(YEAR($A101)=2020,MONTH($A101)=6),1,0)</f>
        <v/>
      </c>
    </row>
    <row r="102">
      <c r="A102" s="3" t="n">
        <v>39569</v>
      </c>
      <c r="B102" s="4" t="inlineStr">
        <is>
          <t>2008m5</t>
        </is>
      </c>
      <c r="C102" s="5">
        <f>100*LN(LEVEL!C102)</f>
        <v/>
      </c>
      <c r="D102" s="5">
        <f>100*LN(LEVEL!D102)</f>
        <v/>
      </c>
      <c r="E102" s="5">
        <f>100*LN(LEVEL!E102)</f>
        <v/>
      </c>
      <c r="F102" s="5">
        <f>LEVEL!F102</f>
        <v/>
      </c>
      <c r="G102" s="5">
        <f>LEVEL!G102</f>
        <v/>
      </c>
      <c r="H102" s="5">
        <f>100*LN(LEVEL!H102)</f>
        <v/>
      </c>
      <c r="I102" s="5">
        <f>100*LN(LEVEL!I102)</f>
        <v/>
      </c>
      <c r="J102" s="5">
        <f>100*LN(LEVEL!J102)</f>
        <v/>
      </c>
      <c r="K102" s="5">
        <f>100*LN(LEVEL!K102)</f>
        <v/>
      </c>
      <c r="L102" s="5">
        <f>LEVEL!L102</f>
        <v/>
      </c>
      <c r="M102" s="5">
        <f>LEVEL!M102</f>
        <v/>
      </c>
      <c r="N102" s="5">
        <f>100*LN(LEVEL!N102)</f>
        <v/>
      </c>
      <c r="O102" s="5">
        <f>100*LN(LEVEL!O102)</f>
        <v/>
      </c>
      <c r="P102" s="6">
        <f>IF(AND(YEAR($A102)=2020,MONTH($A102)=3),1,0)</f>
        <v/>
      </c>
      <c r="Q102" s="6">
        <f>IF(AND(YEAR($A102)=2020,MONTH($A102)=4),1,0)</f>
        <v/>
      </c>
      <c r="R102" s="6">
        <f>IF(AND(YEAR($A102)=2020,MONTH($A102)=5),1,0)</f>
        <v/>
      </c>
      <c r="S102" s="6">
        <f>IF(AND(YEAR($A102)=2020,MONTH($A102)=6),1,0)</f>
        <v/>
      </c>
    </row>
    <row r="103">
      <c r="A103" s="3" t="n">
        <v>39600</v>
      </c>
      <c r="B103" s="4" t="inlineStr">
        <is>
          <t>2008m6</t>
        </is>
      </c>
      <c r="C103" s="5">
        <f>100*LN(LEVEL!C103)</f>
        <v/>
      </c>
      <c r="D103" s="5">
        <f>100*LN(LEVEL!D103)</f>
        <v/>
      </c>
      <c r="E103" s="5">
        <f>100*LN(LEVEL!E103)</f>
        <v/>
      </c>
      <c r="F103" s="5">
        <f>LEVEL!F103</f>
        <v/>
      </c>
      <c r="G103" s="5">
        <f>LEVEL!G103</f>
        <v/>
      </c>
      <c r="H103" s="5">
        <f>100*LN(LEVEL!H103)</f>
        <v/>
      </c>
      <c r="I103" s="5">
        <f>100*LN(LEVEL!I103)</f>
        <v/>
      </c>
      <c r="J103" s="5">
        <f>100*LN(LEVEL!J103)</f>
        <v/>
      </c>
      <c r="K103" s="5">
        <f>100*LN(LEVEL!K103)</f>
        <v/>
      </c>
      <c r="L103" s="5">
        <f>LEVEL!L103</f>
        <v/>
      </c>
      <c r="M103" s="5">
        <f>LEVEL!M103</f>
        <v/>
      </c>
      <c r="N103" s="5">
        <f>100*LN(LEVEL!N103)</f>
        <v/>
      </c>
      <c r="O103" s="5">
        <f>100*LN(LEVEL!O103)</f>
        <v/>
      </c>
      <c r="P103" s="6">
        <f>IF(AND(YEAR($A103)=2020,MONTH($A103)=3),1,0)</f>
        <v/>
      </c>
      <c r="Q103" s="6">
        <f>IF(AND(YEAR($A103)=2020,MONTH($A103)=4),1,0)</f>
        <v/>
      </c>
      <c r="R103" s="6">
        <f>IF(AND(YEAR($A103)=2020,MONTH($A103)=5),1,0)</f>
        <v/>
      </c>
      <c r="S103" s="6">
        <f>IF(AND(YEAR($A103)=2020,MONTH($A103)=6),1,0)</f>
        <v/>
      </c>
    </row>
    <row r="104">
      <c r="A104" s="3" t="n">
        <v>39630</v>
      </c>
      <c r="B104" s="4" t="inlineStr">
        <is>
          <t>2008m7</t>
        </is>
      </c>
      <c r="C104" s="5">
        <f>100*LN(LEVEL!C104)</f>
        <v/>
      </c>
      <c r="D104" s="5">
        <f>100*LN(LEVEL!D104)</f>
        <v/>
      </c>
      <c r="E104" s="5">
        <f>100*LN(LEVEL!E104)</f>
        <v/>
      </c>
      <c r="F104" s="5">
        <f>LEVEL!F104</f>
        <v/>
      </c>
      <c r="G104" s="5">
        <f>LEVEL!G104</f>
        <v/>
      </c>
      <c r="H104" s="5">
        <f>100*LN(LEVEL!H104)</f>
        <v/>
      </c>
      <c r="I104" s="5">
        <f>100*LN(LEVEL!I104)</f>
        <v/>
      </c>
      <c r="J104" s="5">
        <f>100*LN(LEVEL!J104)</f>
        <v/>
      </c>
      <c r="K104" s="5">
        <f>100*LN(LEVEL!K104)</f>
        <v/>
      </c>
      <c r="L104" s="5">
        <f>LEVEL!L104</f>
        <v/>
      </c>
      <c r="M104" s="5">
        <f>LEVEL!M104</f>
        <v/>
      </c>
      <c r="N104" s="5">
        <f>100*LN(LEVEL!N104)</f>
        <v/>
      </c>
      <c r="O104" s="5">
        <f>100*LN(LEVEL!O104)</f>
        <v/>
      </c>
      <c r="P104" s="6">
        <f>IF(AND(YEAR($A104)=2020,MONTH($A104)=3),1,0)</f>
        <v/>
      </c>
      <c r="Q104" s="6">
        <f>IF(AND(YEAR($A104)=2020,MONTH($A104)=4),1,0)</f>
        <v/>
      </c>
      <c r="R104" s="6">
        <f>IF(AND(YEAR($A104)=2020,MONTH($A104)=5),1,0)</f>
        <v/>
      </c>
      <c r="S104" s="6">
        <f>IF(AND(YEAR($A104)=2020,MONTH($A104)=6),1,0)</f>
        <v/>
      </c>
    </row>
    <row r="105">
      <c r="A105" s="3" t="n">
        <v>39661</v>
      </c>
      <c r="B105" s="4" t="inlineStr">
        <is>
          <t>2008m8</t>
        </is>
      </c>
      <c r="C105" s="5">
        <f>100*LN(LEVEL!C105)</f>
        <v/>
      </c>
      <c r="D105" s="5">
        <f>100*LN(LEVEL!D105)</f>
        <v/>
      </c>
      <c r="E105" s="5">
        <f>100*LN(LEVEL!E105)</f>
        <v/>
      </c>
      <c r="F105" s="5">
        <f>LEVEL!F105</f>
        <v/>
      </c>
      <c r="G105" s="5">
        <f>LEVEL!G105</f>
        <v/>
      </c>
      <c r="H105" s="5">
        <f>100*LN(LEVEL!H105)</f>
        <v/>
      </c>
      <c r="I105" s="5">
        <f>100*LN(LEVEL!I105)</f>
        <v/>
      </c>
      <c r="J105" s="5">
        <f>100*LN(LEVEL!J105)</f>
        <v/>
      </c>
      <c r="K105" s="5">
        <f>100*LN(LEVEL!K105)</f>
        <v/>
      </c>
      <c r="L105" s="5">
        <f>LEVEL!L105</f>
        <v/>
      </c>
      <c r="M105" s="5">
        <f>LEVEL!M105</f>
        <v/>
      </c>
      <c r="N105" s="5">
        <f>100*LN(LEVEL!N105)</f>
        <v/>
      </c>
      <c r="O105" s="5">
        <f>100*LN(LEVEL!O105)</f>
        <v/>
      </c>
      <c r="P105" s="6">
        <f>IF(AND(YEAR($A105)=2020,MONTH($A105)=3),1,0)</f>
        <v/>
      </c>
      <c r="Q105" s="6">
        <f>IF(AND(YEAR($A105)=2020,MONTH($A105)=4),1,0)</f>
        <v/>
      </c>
      <c r="R105" s="6">
        <f>IF(AND(YEAR($A105)=2020,MONTH($A105)=5),1,0)</f>
        <v/>
      </c>
      <c r="S105" s="6">
        <f>IF(AND(YEAR($A105)=2020,MONTH($A105)=6),1,0)</f>
        <v/>
      </c>
    </row>
    <row r="106">
      <c r="A106" s="3" t="n">
        <v>39692</v>
      </c>
      <c r="B106" s="4" t="inlineStr">
        <is>
          <t>2008m9</t>
        </is>
      </c>
      <c r="C106" s="5">
        <f>100*LN(LEVEL!C106)</f>
        <v/>
      </c>
      <c r="D106" s="5">
        <f>100*LN(LEVEL!D106)</f>
        <v/>
      </c>
      <c r="E106" s="5">
        <f>100*LN(LEVEL!E106)</f>
        <v/>
      </c>
      <c r="F106" s="5">
        <f>LEVEL!F106</f>
        <v/>
      </c>
      <c r="G106" s="5">
        <f>LEVEL!G106</f>
        <v/>
      </c>
      <c r="H106" s="5">
        <f>100*LN(LEVEL!H106)</f>
        <v/>
      </c>
      <c r="I106" s="5">
        <f>100*LN(LEVEL!I106)</f>
        <v/>
      </c>
      <c r="J106" s="5">
        <f>100*LN(LEVEL!J106)</f>
        <v/>
      </c>
      <c r="K106" s="5">
        <f>100*LN(LEVEL!K106)</f>
        <v/>
      </c>
      <c r="L106" s="5">
        <f>LEVEL!L106</f>
        <v/>
      </c>
      <c r="M106" s="5">
        <f>LEVEL!M106</f>
        <v/>
      </c>
      <c r="N106" s="5">
        <f>100*LN(LEVEL!N106)</f>
        <v/>
      </c>
      <c r="O106" s="5">
        <f>100*LN(LEVEL!O106)</f>
        <v/>
      </c>
      <c r="P106" s="6">
        <f>IF(AND(YEAR($A106)=2020,MONTH($A106)=3),1,0)</f>
        <v/>
      </c>
      <c r="Q106" s="6">
        <f>IF(AND(YEAR($A106)=2020,MONTH($A106)=4),1,0)</f>
        <v/>
      </c>
      <c r="R106" s="6">
        <f>IF(AND(YEAR($A106)=2020,MONTH($A106)=5),1,0)</f>
        <v/>
      </c>
      <c r="S106" s="6">
        <f>IF(AND(YEAR($A106)=2020,MONTH($A106)=6),1,0)</f>
        <v/>
      </c>
    </row>
    <row r="107">
      <c r="A107" s="3" t="n">
        <v>39722</v>
      </c>
      <c r="B107" s="4" t="inlineStr">
        <is>
          <t>2008m10</t>
        </is>
      </c>
      <c r="C107" s="5">
        <f>100*LN(LEVEL!C107)</f>
        <v/>
      </c>
      <c r="D107" s="5">
        <f>100*LN(LEVEL!D107)</f>
        <v/>
      </c>
      <c r="E107" s="5">
        <f>100*LN(LEVEL!E107)</f>
        <v/>
      </c>
      <c r="F107" s="5">
        <f>LEVEL!F107</f>
        <v/>
      </c>
      <c r="G107" s="5">
        <f>LEVEL!G107</f>
        <v/>
      </c>
      <c r="H107" s="5">
        <f>100*LN(LEVEL!H107)</f>
        <v/>
      </c>
      <c r="I107" s="5">
        <f>100*LN(LEVEL!I107)</f>
        <v/>
      </c>
      <c r="J107" s="5">
        <f>100*LN(LEVEL!J107)</f>
        <v/>
      </c>
      <c r="K107" s="5">
        <f>100*LN(LEVEL!K107)</f>
        <v/>
      </c>
      <c r="L107" s="5">
        <f>LEVEL!L107</f>
        <v/>
      </c>
      <c r="M107" s="5">
        <f>LEVEL!M107</f>
        <v/>
      </c>
      <c r="N107" s="5">
        <f>100*LN(LEVEL!N107)</f>
        <v/>
      </c>
      <c r="O107" s="5">
        <f>100*LN(LEVEL!O107)</f>
        <v/>
      </c>
      <c r="P107" s="6">
        <f>IF(AND(YEAR($A107)=2020,MONTH($A107)=3),1,0)</f>
        <v/>
      </c>
      <c r="Q107" s="6">
        <f>IF(AND(YEAR($A107)=2020,MONTH($A107)=4),1,0)</f>
        <v/>
      </c>
      <c r="R107" s="6">
        <f>IF(AND(YEAR($A107)=2020,MONTH($A107)=5),1,0)</f>
        <v/>
      </c>
      <c r="S107" s="6">
        <f>IF(AND(YEAR($A107)=2020,MONTH($A107)=6),1,0)</f>
        <v/>
      </c>
    </row>
    <row r="108">
      <c r="A108" s="3" t="n">
        <v>39753</v>
      </c>
      <c r="B108" s="4" t="inlineStr">
        <is>
          <t>2008m11</t>
        </is>
      </c>
      <c r="C108" s="5">
        <f>100*LN(LEVEL!C108)</f>
        <v/>
      </c>
      <c r="D108" s="5">
        <f>100*LN(LEVEL!D108)</f>
        <v/>
      </c>
      <c r="E108" s="5">
        <f>100*LN(LEVEL!E108)</f>
        <v/>
      </c>
      <c r="F108" s="5">
        <f>LEVEL!F108</f>
        <v/>
      </c>
      <c r="G108" s="5">
        <f>LEVEL!G108</f>
        <v/>
      </c>
      <c r="H108" s="5">
        <f>100*LN(LEVEL!H108)</f>
        <v/>
      </c>
      <c r="I108" s="5">
        <f>100*LN(LEVEL!I108)</f>
        <v/>
      </c>
      <c r="J108" s="5">
        <f>100*LN(LEVEL!J108)</f>
        <v/>
      </c>
      <c r="K108" s="5">
        <f>100*LN(LEVEL!K108)</f>
        <v/>
      </c>
      <c r="L108" s="5">
        <f>LEVEL!L108</f>
        <v/>
      </c>
      <c r="M108" s="5">
        <f>LEVEL!M108</f>
        <v/>
      </c>
      <c r="N108" s="5">
        <f>100*LN(LEVEL!N108)</f>
        <v/>
      </c>
      <c r="O108" s="5">
        <f>100*LN(LEVEL!O108)</f>
        <v/>
      </c>
      <c r="P108" s="6">
        <f>IF(AND(YEAR($A108)=2020,MONTH($A108)=3),1,0)</f>
        <v/>
      </c>
      <c r="Q108" s="6">
        <f>IF(AND(YEAR($A108)=2020,MONTH($A108)=4),1,0)</f>
        <v/>
      </c>
      <c r="R108" s="6">
        <f>IF(AND(YEAR($A108)=2020,MONTH($A108)=5),1,0)</f>
        <v/>
      </c>
      <c r="S108" s="6">
        <f>IF(AND(YEAR($A108)=2020,MONTH($A108)=6),1,0)</f>
        <v/>
      </c>
    </row>
    <row r="109">
      <c r="A109" s="3" t="n">
        <v>39783</v>
      </c>
      <c r="B109" s="4" t="inlineStr">
        <is>
          <t>2008m12</t>
        </is>
      </c>
      <c r="C109" s="5">
        <f>100*LN(LEVEL!C109)</f>
        <v/>
      </c>
      <c r="D109" s="5">
        <f>100*LN(LEVEL!D109)</f>
        <v/>
      </c>
      <c r="E109" s="5">
        <f>100*LN(LEVEL!E109)</f>
        <v/>
      </c>
      <c r="F109" s="5">
        <f>LEVEL!F109</f>
        <v/>
      </c>
      <c r="G109" s="5">
        <f>LEVEL!G109</f>
        <v/>
      </c>
      <c r="H109" s="5">
        <f>100*LN(LEVEL!H109)</f>
        <v/>
      </c>
      <c r="I109" s="5">
        <f>100*LN(LEVEL!I109)</f>
        <v/>
      </c>
      <c r="J109" s="5">
        <f>100*LN(LEVEL!J109)</f>
        <v/>
      </c>
      <c r="K109" s="5">
        <f>100*LN(LEVEL!K109)</f>
        <v/>
      </c>
      <c r="L109" s="5">
        <f>LEVEL!L109</f>
        <v/>
      </c>
      <c r="M109" s="5">
        <f>LEVEL!M109</f>
        <v/>
      </c>
      <c r="N109" s="5">
        <f>100*LN(LEVEL!N109)</f>
        <v/>
      </c>
      <c r="O109" s="5">
        <f>100*LN(LEVEL!O109)</f>
        <v/>
      </c>
      <c r="P109" s="6">
        <f>IF(AND(YEAR($A109)=2020,MONTH($A109)=3),1,0)</f>
        <v/>
      </c>
      <c r="Q109" s="6">
        <f>IF(AND(YEAR($A109)=2020,MONTH($A109)=4),1,0)</f>
        <v/>
      </c>
      <c r="R109" s="6">
        <f>IF(AND(YEAR($A109)=2020,MONTH($A109)=5),1,0)</f>
        <v/>
      </c>
      <c r="S109" s="6">
        <f>IF(AND(YEAR($A109)=2020,MONTH($A109)=6),1,0)</f>
        <v/>
      </c>
    </row>
    <row r="110">
      <c r="A110" s="3" t="n">
        <v>39814</v>
      </c>
      <c r="B110" s="4" t="inlineStr">
        <is>
          <t>2009m1</t>
        </is>
      </c>
      <c r="C110" s="5">
        <f>100*LN(LEVEL!C110)</f>
        <v/>
      </c>
      <c r="D110" s="5">
        <f>100*LN(LEVEL!D110)</f>
        <v/>
      </c>
      <c r="E110" s="5">
        <f>100*LN(LEVEL!E110)</f>
        <v/>
      </c>
      <c r="F110" s="5">
        <f>LEVEL!F110</f>
        <v/>
      </c>
      <c r="G110" s="5">
        <f>LEVEL!G110</f>
        <v/>
      </c>
      <c r="H110" s="5">
        <f>100*LN(LEVEL!H110)</f>
        <v/>
      </c>
      <c r="I110" s="5">
        <f>100*LN(LEVEL!I110)</f>
        <v/>
      </c>
      <c r="J110" s="5">
        <f>100*LN(LEVEL!J110)</f>
        <v/>
      </c>
      <c r="K110" s="5">
        <f>100*LN(LEVEL!K110)</f>
        <v/>
      </c>
      <c r="L110" s="5">
        <f>LEVEL!L110</f>
        <v/>
      </c>
      <c r="M110" s="5">
        <f>LEVEL!M110</f>
        <v/>
      </c>
      <c r="N110" s="5">
        <f>100*LN(LEVEL!N110)</f>
        <v/>
      </c>
      <c r="O110" s="5">
        <f>100*LN(LEVEL!O110)</f>
        <v/>
      </c>
      <c r="P110" s="6">
        <f>IF(AND(YEAR($A110)=2020,MONTH($A110)=3),1,0)</f>
        <v/>
      </c>
      <c r="Q110" s="6">
        <f>IF(AND(YEAR($A110)=2020,MONTH($A110)=4),1,0)</f>
        <v/>
      </c>
      <c r="R110" s="6">
        <f>IF(AND(YEAR($A110)=2020,MONTH($A110)=5),1,0)</f>
        <v/>
      </c>
      <c r="S110" s="6">
        <f>IF(AND(YEAR($A110)=2020,MONTH($A110)=6),1,0)</f>
        <v/>
      </c>
    </row>
    <row r="111">
      <c r="A111" s="3" t="n">
        <v>39845</v>
      </c>
      <c r="B111" s="4" t="inlineStr">
        <is>
          <t>2009m2</t>
        </is>
      </c>
      <c r="C111" s="5">
        <f>100*LN(LEVEL!C111)</f>
        <v/>
      </c>
      <c r="D111" s="5">
        <f>100*LN(LEVEL!D111)</f>
        <v/>
      </c>
      <c r="E111" s="5">
        <f>100*LN(LEVEL!E111)</f>
        <v/>
      </c>
      <c r="F111" s="5">
        <f>LEVEL!F111</f>
        <v/>
      </c>
      <c r="G111" s="5">
        <f>LEVEL!G111</f>
        <v/>
      </c>
      <c r="H111" s="5">
        <f>100*LN(LEVEL!H111)</f>
        <v/>
      </c>
      <c r="I111" s="5">
        <f>100*LN(LEVEL!I111)</f>
        <v/>
      </c>
      <c r="J111" s="5">
        <f>100*LN(LEVEL!J111)</f>
        <v/>
      </c>
      <c r="K111" s="5">
        <f>100*LN(LEVEL!K111)</f>
        <v/>
      </c>
      <c r="L111" s="5">
        <f>LEVEL!L111</f>
        <v/>
      </c>
      <c r="M111" s="5">
        <f>LEVEL!M111</f>
        <v/>
      </c>
      <c r="N111" s="5">
        <f>100*LN(LEVEL!N111)</f>
        <v/>
      </c>
      <c r="O111" s="5">
        <f>100*LN(LEVEL!O111)</f>
        <v/>
      </c>
      <c r="P111" s="6">
        <f>IF(AND(YEAR($A111)=2020,MONTH($A111)=3),1,0)</f>
        <v/>
      </c>
      <c r="Q111" s="6">
        <f>IF(AND(YEAR($A111)=2020,MONTH($A111)=4),1,0)</f>
        <v/>
      </c>
      <c r="R111" s="6">
        <f>IF(AND(YEAR($A111)=2020,MONTH($A111)=5),1,0)</f>
        <v/>
      </c>
      <c r="S111" s="6">
        <f>IF(AND(YEAR($A111)=2020,MONTH($A111)=6),1,0)</f>
        <v/>
      </c>
    </row>
    <row r="112">
      <c r="A112" s="3" t="n">
        <v>39873</v>
      </c>
      <c r="B112" s="4" t="inlineStr">
        <is>
          <t>2009m3</t>
        </is>
      </c>
      <c r="C112" s="5">
        <f>100*LN(LEVEL!C112)</f>
        <v/>
      </c>
      <c r="D112" s="5">
        <f>100*LN(LEVEL!D112)</f>
        <v/>
      </c>
      <c r="E112" s="5">
        <f>100*LN(LEVEL!E112)</f>
        <v/>
      </c>
      <c r="F112" s="5">
        <f>LEVEL!F112</f>
        <v/>
      </c>
      <c r="G112" s="5">
        <f>LEVEL!G112</f>
        <v/>
      </c>
      <c r="H112" s="5">
        <f>100*LN(LEVEL!H112)</f>
        <v/>
      </c>
      <c r="I112" s="5">
        <f>100*LN(LEVEL!I112)</f>
        <v/>
      </c>
      <c r="J112" s="5">
        <f>100*LN(LEVEL!J112)</f>
        <v/>
      </c>
      <c r="K112" s="5">
        <f>100*LN(LEVEL!K112)</f>
        <v/>
      </c>
      <c r="L112" s="5">
        <f>LEVEL!L112</f>
        <v/>
      </c>
      <c r="M112" s="5">
        <f>LEVEL!M112</f>
        <v/>
      </c>
      <c r="N112" s="5">
        <f>100*LN(LEVEL!N112)</f>
        <v/>
      </c>
      <c r="O112" s="5">
        <f>100*LN(LEVEL!O112)</f>
        <v/>
      </c>
      <c r="P112" s="6">
        <f>IF(AND(YEAR($A112)=2020,MONTH($A112)=3),1,0)</f>
        <v/>
      </c>
      <c r="Q112" s="6">
        <f>IF(AND(YEAR($A112)=2020,MONTH($A112)=4),1,0)</f>
        <v/>
      </c>
      <c r="R112" s="6">
        <f>IF(AND(YEAR($A112)=2020,MONTH($A112)=5),1,0)</f>
        <v/>
      </c>
      <c r="S112" s="6">
        <f>IF(AND(YEAR($A112)=2020,MONTH($A112)=6),1,0)</f>
        <v/>
      </c>
    </row>
    <row r="113">
      <c r="A113" s="3" t="n">
        <v>39904</v>
      </c>
      <c r="B113" s="4" t="inlineStr">
        <is>
          <t>2009m4</t>
        </is>
      </c>
      <c r="C113" s="5">
        <f>100*LN(LEVEL!C113)</f>
        <v/>
      </c>
      <c r="D113" s="5">
        <f>100*LN(LEVEL!D113)</f>
        <v/>
      </c>
      <c r="E113" s="5">
        <f>100*LN(LEVEL!E113)</f>
        <v/>
      </c>
      <c r="F113" s="5">
        <f>LEVEL!F113</f>
        <v/>
      </c>
      <c r="G113" s="5">
        <f>LEVEL!G113</f>
        <v/>
      </c>
      <c r="H113" s="5">
        <f>100*LN(LEVEL!H113)</f>
        <v/>
      </c>
      <c r="I113" s="5">
        <f>100*LN(LEVEL!I113)</f>
        <v/>
      </c>
      <c r="J113" s="5">
        <f>100*LN(LEVEL!J113)</f>
        <v/>
      </c>
      <c r="K113" s="5">
        <f>100*LN(LEVEL!K113)</f>
        <v/>
      </c>
      <c r="L113" s="5">
        <f>LEVEL!L113</f>
        <v/>
      </c>
      <c r="M113" s="5">
        <f>LEVEL!M113</f>
        <v/>
      </c>
      <c r="N113" s="5">
        <f>100*LN(LEVEL!N113)</f>
        <v/>
      </c>
      <c r="O113" s="5">
        <f>100*LN(LEVEL!O113)</f>
        <v/>
      </c>
      <c r="P113" s="6">
        <f>IF(AND(YEAR($A113)=2020,MONTH($A113)=3),1,0)</f>
        <v/>
      </c>
      <c r="Q113" s="6">
        <f>IF(AND(YEAR($A113)=2020,MONTH($A113)=4),1,0)</f>
        <v/>
      </c>
      <c r="R113" s="6">
        <f>IF(AND(YEAR($A113)=2020,MONTH($A113)=5),1,0)</f>
        <v/>
      </c>
      <c r="S113" s="6">
        <f>IF(AND(YEAR($A113)=2020,MONTH($A113)=6),1,0)</f>
        <v/>
      </c>
    </row>
    <row r="114">
      <c r="A114" s="3" t="n">
        <v>39934</v>
      </c>
      <c r="B114" s="4" t="inlineStr">
        <is>
          <t>2009m5</t>
        </is>
      </c>
      <c r="C114" s="5">
        <f>100*LN(LEVEL!C114)</f>
        <v/>
      </c>
      <c r="D114" s="5">
        <f>100*LN(LEVEL!D114)</f>
        <v/>
      </c>
      <c r="E114" s="5">
        <f>100*LN(LEVEL!E114)</f>
        <v/>
      </c>
      <c r="F114" s="5">
        <f>LEVEL!F114</f>
        <v/>
      </c>
      <c r="G114" s="5">
        <f>LEVEL!G114</f>
        <v/>
      </c>
      <c r="H114" s="5">
        <f>100*LN(LEVEL!H114)</f>
        <v/>
      </c>
      <c r="I114" s="5">
        <f>100*LN(LEVEL!I114)</f>
        <v/>
      </c>
      <c r="J114" s="5">
        <f>100*LN(LEVEL!J114)</f>
        <v/>
      </c>
      <c r="K114" s="5">
        <f>100*LN(LEVEL!K114)</f>
        <v/>
      </c>
      <c r="L114" s="5">
        <f>LEVEL!L114</f>
        <v/>
      </c>
      <c r="M114" s="5">
        <f>LEVEL!M114</f>
        <v/>
      </c>
      <c r="N114" s="5">
        <f>100*LN(LEVEL!N114)</f>
        <v/>
      </c>
      <c r="O114" s="5">
        <f>100*LN(LEVEL!O114)</f>
        <v/>
      </c>
      <c r="P114" s="6">
        <f>IF(AND(YEAR($A114)=2020,MONTH($A114)=3),1,0)</f>
        <v/>
      </c>
      <c r="Q114" s="6">
        <f>IF(AND(YEAR($A114)=2020,MONTH($A114)=4),1,0)</f>
        <v/>
      </c>
      <c r="R114" s="6">
        <f>IF(AND(YEAR($A114)=2020,MONTH($A114)=5),1,0)</f>
        <v/>
      </c>
      <c r="S114" s="6">
        <f>IF(AND(YEAR($A114)=2020,MONTH($A114)=6),1,0)</f>
        <v/>
      </c>
    </row>
    <row r="115">
      <c r="A115" s="3" t="n">
        <v>39965</v>
      </c>
      <c r="B115" s="4" t="inlineStr">
        <is>
          <t>2009m6</t>
        </is>
      </c>
      <c r="C115" s="5">
        <f>100*LN(LEVEL!C115)</f>
        <v/>
      </c>
      <c r="D115" s="5">
        <f>100*LN(LEVEL!D115)</f>
        <v/>
      </c>
      <c r="E115" s="5">
        <f>100*LN(LEVEL!E115)</f>
        <v/>
      </c>
      <c r="F115" s="5">
        <f>LEVEL!F115</f>
        <v/>
      </c>
      <c r="G115" s="5">
        <f>LEVEL!G115</f>
        <v/>
      </c>
      <c r="H115" s="5">
        <f>100*LN(LEVEL!H115)</f>
        <v/>
      </c>
      <c r="I115" s="5">
        <f>100*LN(LEVEL!I115)</f>
        <v/>
      </c>
      <c r="J115" s="5">
        <f>100*LN(LEVEL!J115)</f>
        <v/>
      </c>
      <c r="K115" s="5">
        <f>100*LN(LEVEL!K115)</f>
        <v/>
      </c>
      <c r="L115" s="5">
        <f>LEVEL!L115</f>
        <v/>
      </c>
      <c r="M115" s="5">
        <f>LEVEL!M115</f>
        <v/>
      </c>
      <c r="N115" s="5">
        <f>100*LN(LEVEL!N115)</f>
        <v/>
      </c>
      <c r="O115" s="5">
        <f>100*LN(LEVEL!O115)</f>
        <v/>
      </c>
      <c r="P115" s="6">
        <f>IF(AND(YEAR($A115)=2020,MONTH($A115)=3),1,0)</f>
        <v/>
      </c>
      <c r="Q115" s="6">
        <f>IF(AND(YEAR($A115)=2020,MONTH($A115)=4),1,0)</f>
        <v/>
      </c>
      <c r="R115" s="6">
        <f>IF(AND(YEAR($A115)=2020,MONTH($A115)=5),1,0)</f>
        <v/>
      </c>
      <c r="S115" s="6">
        <f>IF(AND(YEAR($A115)=2020,MONTH($A115)=6),1,0)</f>
        <v/>
      </c>
    </row>
    <row r="116">
      <c r="A116" s="3" t="n">
        <v>39995</v>
      </c>
      <c r="B116" s="4" t="inlineStr">
        <is>
          <t>2009m7</t>
        </is>
      </c>
      <c r="C116" s="5">
        <f>100*LN(LEVEL!C116)</f>
        <v/>
      </c>
      <c r="D116" s="5">
        <f>100*LN(LEVEL!D116)</f>
        <v/>
      </c>
      <c r="E116" s="5">
        <f>100*LN(LEVEL!E116)</f>
        <v/>
      </c>
      <c r="F116" s="5">
        <f>LEVEL!F116</f>
        <v/>
      </c>
      <c r="G116" s="5">
        <f>LEVEL!G116</f>
        <v/>
      </c>
      <c r="H116" s="5">
        <f>100*LN(LEVEL!H116)</f>
        <v/>
      </c>
      <c r="I116" s="5">
        <f>100*LN(LEVEL!I116)</f>
        <v/>
      </c>
      <c r="J116" s="5">
        <f>100*LN(LEVEL!J116)</f>
        <v/>
      </c>
      <c r="K116" s="5">
        <f>100*LN(LEVEL!K116)</f>
        <v/>
      </c>
      <c r="L116" s="5">
        <f>LEVEL!L116</f>
        <v/>
      </c>
      <c r="M116" s="5">
        <f>LEVEL!M116</f>
        <v/>
      </c>
      <c r="N116" s="5">
        <f>100*LN(LEVEL!N116)</f>
        <v/>
      </c>
      <c r="O116" s="5">
        <f>100*LN(LEVEL!O116)</f>
        <v/>
      </c>
      <c r="P116" s="6">
        <f>IF(AND(YEAR($A116)=2020,MONTH($A116)=3),1,0)</f>
        <v/>
      </c>
      <c r="Q116" s="6">
        <f>IF(AND(YEAR($A116)=2020,MONTH($A116)=4),1,0)</f>
        <v/>
      </c>
      <c r="R116" s="6">
        <f>IF(AND(YEAR($A116)=2020,MONTH($A116)=5),1,0)</f>
        <v/>
      </c>
      <c r="S116" s="6">
        <f>IF(AND(YEAR($A116)=2020,MONTH($A116)=6),1,0)</f>
        <v/>
      </c>
    </row>
    <row r="117">
      <c r="A117" s="3" t="n">
        <v>40026</v>
      </c>
      <c r="B117" s="4" t="inlineStr">
        <is>
          <t>2009m8</t>
        </is>
      </c>
      <c r="C117" s="5">
        <f>100*LN(LEVEL!C117)</f>
        <v/>
      </c>
      <c r="D117" s="5">
        <f>100*LN(LEVEL!D117)</f>
        <v/>
      </c>
      <c r="E117" s="5">
        <f>100*LN(LEVEL!E117)</f>
        <v/>
      </c>
      <c r="F117" s="5">
        <f>LEVEL!F117</f>
        <v/>
      </c>
      <c r="G117" s="5">
        <f>LEVEL!G117</f>
        <v/>
      </c>
      <c r="H117" s="5">
        <f>100*LN(LEVEL!H117)</f>
        <v/>
      </c>
      <c r="I117" s="5">
        <f>100*LN(LEVEL!I117)</f>
        <v/>
      </c>
      <c r="J117" s="5">
        <f>100*LN(LEVEL!J117)</f>
        <v/>
      </c>
      <c r="K117" s="5">
        <f>100*LN(LEVEL!K117)</f>
        <v/>
      </c>
      <c r="L117" s="5">
        <f>LEVEL!L117</f>
        <v/>
      </c>
      <c r="M117" s="5">
        <f>LEVEL!M117</f>
        <v/>
      </c>
      <c r="N117" s="5">
        <f>100*LN(LEVEL!N117)</f>
        <v/>
      </c>
      <c r="O117" s="5">
        <f>100*LN(LEVEL!O117)</f>
        <v/>
      </c>
      <c r="P117" s="6">
        <f>IF(AND(YEAR($A117)=2020,MONTH($A117)=3),1,0)</f>
        <v/>
      </c>
      <c r="Q117" s="6">
        <f>IF(AND(YEAR($A117)=2020,MONTH($A117)=4),1,0)</f>
        <v/>
      </c>
      <c r="R117" s="6">
        <f>IF(AND(YEAR($A117)=2020,MONTH($A117)=5),1,0)</f>
        <v/>
      </c>
      <c r="S117" s="6">
        <f>IF(AND(YEAR($A117)=2020,MONTH($A117)=6),1,0)</f>
        <v/>
      </c>
    </row>
    <row r="118">
      <c r="A118" s="3" t="n">
        <v>40057</v>
      </c>
      <c r="B118" s="4" t="inlineStr">
        <is>
          <t>2009m9</t>
        </is>
      </c>
      <c r="C118" s="5">
        <f>100*LN(LEVEL!C118)</f>
        <v/>
      </c>
      <c r="D118" s="5">
        <f>100*LN(LEVEL!D118)</f>
        <v/>
      </c>
      <c r="E118" s="5">
        <f>100*LN(LEVEL!E118)</f>
        <v/>
      </c>
      <c r="F118" s="5">
        <f>LEVEL!F118</f>
        <v/>
      </c>
      <c r="G118" s="5">
        <f>LEVEL!G118</f>
        <v/>
      </c>
      <c r="H118" s="5">
        <f>100*LN(LEVEL!H118)</f>
        <v/>
      </c>
      <c r="I118" s="5">
        <f>100*LN(LEVEL!I118)</f>
        <v/>
      </c>
      <c r="J118" s="5">
        <f>100*LN(LEVEL!J118)</f>
        <v/>
      </c>
      <c r="K118" s="5">
        <f>100*LN(LEVEL!K118)</f>
        <v/>
      </c>
      <c r="L118" s="5">
        <f>LEVEL!L118</f>
        <v/>
      </c>
      <c r="M118" s="5">
        <f>LEVEL!M118</f>
        <v/>
      </c>
      <c r="N118" s="5">
        <f>100*LN(LEVEL!N118)</f>
        <v/>
      </c>
      <c r="O118" s="5">
        <f>100*LN(LEVEL!O118)</f>
        <v/>
      </c>
      <c r="P118" s="6">
        <f>IF(AND(YEAR($A118)=2020,MONTH($A118)=3),1,0)</f>
        <v/>
      </c>
      <c r="Q118" s="6">
        <f>IF(AND(YEAR($A118)=2020,MONTH($A118)=4),1,0)</f>
        <v/>
      </c>
      <c r="R118" s="6">
        <f>IF(AND(YEAR($A118)=2020,MONTH($A118)=5),1,0)</f>
        <v/>
      </c>
      <c r="S118" s="6">
        <f>IF(AND(YEAR($A118)=2020,MONTH($A118)=6),1,0)</f>
        <v/>
      </c>
    </row>
    <row r="119">
      <c r="A119" s="3" t="n">
        <v>40087</v>
      </c>
      <c r="B119" s="4" t="inlineStr">
        <is>
          <t>2009m10</t>
        </is>
      </c>
      <c r="C119" s="5">
        <f>100*LN(LEVEL!C119)</f>
        <v/>
      </c>
      <c r="D119" s="5">
        <f>100*LN(LEVEL!D119)</f>
        <v/>
      </c>
      <c r="E119" s="5">
        <f>100*LN(LEVEL!E119)</f>
        <v/>
      </c>
      <c r="F119" s="5">
        <f>LEVEL!F119</f>
        <v/>
      </c>
      <c r="G119" s="5">
        <f>LEVEL!G119</f>
        <v/>
      </c>
      <c r="H119" s="5">
        <f>100*LN(LEVEL!H119)</f>
        <v/>
      </c>
      <c r="I119" s="5">
        <f>100*LN(LEVEL!I119)</f>
        <v/>
      </c>
      <c r="J119" s="5">
        <f>100*LN(LEVEL!J119)</f>
        <v/>
      </c>
      <c r="K119" s="5">
        <f>100*LN(LEVEL!K119)</f>
        <v/>
      </c>
      <c r="L119" s="5">
        <f>LEVEL!L119</f>
        <v/>
      </c>
      <c r="M119" s="5">
        <f>LEVEL!M119</f>
        <v/>
      </c>
      <c r="N119" s="5">
        <f>100*LN(LEVEL!N119)</f>
        <v/>
      </c>
      <c r="O119" s="5">
        <f>100*LN(LEVEL!O119)</f>
        <v/>
      </c>
      <c r="P119" s="6">
        <f>IF(AND(YEAR($A119)=2020,MONTH($A119)=3),1,0)</f>
        <v/>
      </c>
      <c r="Q119" s="6">
        <f>IF(AND(YEAR($A119)=2020,MONTH($A119)=4),1,0)</f>
        <v/>
      </c>
      <c r="R119" s="6">
        <f>IF(AND(YEAR($A119)=2020,MONTH($A119)=5),1,0)</f>
        <v/>
      </c>
      <c r="S119" s="6">
        <f>IF(AND(YEAR($A119)=2020,MONTH($A119)=6),1,0)</f>
        <v/>
      </c>
    </row>
    <row r="120">
      <c r="A120" s="3" t="n">
        <v>40118</v>
      </c>
      <c r="B120" s="4" t="inlineStr">
        <is>
          <t>2009m11</t>
        </is>
      </c>
      <c r="C120" s="5">
        <f>100*LN(LEVEL!C120)</f>
        <v/>
      </c>
      <c r="D120" s="5">
        <f>100*LN(LEVEL!D120)</f>
        <v/>
      </c>
      <c r="E120" s="5">
        <f>100*LN(LEVEL!E120)</f>
        <v/>
      </c>
      <c r="F120" s="5">
        <f>LEVEL!F120</f>
        <v/>
      </c>
      <c r="G120" s="5">
        <f>LEVEL!G120</f>
        <v/>
      </c>
      <c r="H120" s="5">
        <f>100*LN(LEVEL!H120)</f>
        <v/>
      </c>
      <c r="I120" s="5">
        <f>100*LN(LEVEL!I120)</f>
        <v/>
      </c>
      <c r="J120" s="5">
        <f>100*LN(LEVEL!J120)</f>
        <v/>
      </c>
      <c r="K120" s="5">
        <f>100*LN(LEVEL!K120)</f>
        <v/>
      </c>
      <c r="L120" s="5">
        <f>LEVEL!L120</f>
        <v/>
      </c>
      <c r="M120" s="5">
        <f>LEVEL!M120</f>
        <v/>
      </c>
      <c r="N120" s="5">
        <f>100*LN(LEVEL!N120)</f>
        <v/>
      </c>
      <c r="O120" s="5">
        <f>100*LN(LEVEL!O120)</f>
        <v/>
      </c>
      <c r="P120" s="6">
        <f>IF(AND(YEAR($A120)=2020,MONTH($A120)=3),1,0)</f>
        <v/>
      </c>
      <c r="Q120" s="6">
        <f>IF(AND(YEAR($A120)=2020,MONTH($A120)=4),1,0)</f>
        <v/>
      </c>
      <c r="R120" s="6">
        <f>IF(AND(YEAR($A120)=2020,MONTH($A120)=5),1,0)</f>
        <v/>
      </c>
      <c r="S120" s="6">
        <f>IF(AND(YEAR($A120)=2020,MONTH($A120)=6),1,0)</f>
        <v/>
      </c>
    </row>
    <row r="121">
      <c r="A121" s="3" t="n">
        <v>40148</v>
      </c>
      <c r="B121" s="4" t="inlineStr">
        <is>
          <t>2009m12</t>
        </is>
      </c>
      <c r="C121" s="5">
        <f>100*LN(LEVEL!C121)</f>
        <v/>
      </c>
      <c r="D121" s="5">
        <f>100*LN(LEVEL!D121)</f>
        <v/>
      </c>
      <c r="E121" s="5">
        <f>100*LN(LEVEL!E121)</f>
        <v/>
      </c>
      <c r="F121" s="5">
        <f>LEVEL!F121</f>
        <v/>
      </c>
      <c r="G121" s="5">
        <f>LEVEL!G121</f>
        <v/>
      </c>
      <c r="H121" s="5">
        <f>100*LN(LEVEL!H121)</f>
        <v/>
      </c>
      <c r="I121" s="5">
        <f>100*LN(LEVEL!I121)</f>
        <v/>
      </c>
      <c r="J121" s="5">
        <f>100*LN(LEVEL!J121)</f>
        <v/>
      </c>
      <c r="K121" s="5">
        <f>100*LN(LEVEL!K121)</f>
        <v/>
      </c>
      <c r="L121" s="5">
        <f>LEVEL!L121</f>
        <v/>
      </c>
      <c r="M121" s="5">
        <f>LEVEL!M121</f>
        <v/>
      </c>
      <c r="N121" s="5">
        <f>100*LN(LEVEL!N121)</f>
        <v/>
      </c>
      <c r="O121" s="5">
        <f>100*LN(LEVEL!O121)</f>
        <v/>
      </c>
      <c r="P121" s="6">
        <f>IF(AND(YEAR($A121)=2020,MONTH($A121)=3),1,0)</f>
        <v/>
      </c>
      <c r="Q121" s="6">
        <f>IF(AND(YEAR($A121)=2020,MONTH($A121)=4),1,0)</f>
        <v/>
      </c>
      <c r="R121" s="6">
        <f>IF(AND(YEAR($A121)=2020,MONTH($A121)=5),1,0)</f>
        <v/>
      </c>
      <c r="S121" s="6">
        <f>IF(AND(YEAR($A121)=2020,MONTH($A121)=6),1,0)</f>
        <v/>
      </c>
    </row>
    <row r="122">
      <c r="A122" s="3" t="n">
        <v>40179</v>
      </c>
      <c r="B122" s="4" t="inlineStr">
        <is>
          <t>2010m1</t>
        </is>
      </c>
      <c r="C122" s="5">
        <f>100*LN(LEVEL!C122)</f>
        <v/>
      </c>
      <c r="D122" s="5">
        <f>100*LN(LEVEL!D122)</f>
        <v/>
      </c>
      <c r="E122" s="5">
        <f>100*LN(LEVEL!E122)</f>
        <v/>
      </c>
      <c r="F122" s="5">
        <f>LEVEL!F122</f>
        <v/>
      </c>
      <c r="G122" s="5">
        <f>LEVEL!G122</f>
        <v/>
      </c>
      <c r="H122" s="5">
        <f>100*LN(LEVEL!H122)</f>
        <v/>
      </c>
      <c r="I122" s="5">
        <f>100*LN(LEVEL!I122)</f>
        <v/>
      </c>
      <c r="J122" s="5">
        <f>100*LN(LEVEL!J122)</f>
        <v/>
      </c>
      <c r="K122" s="5">
        <f>100*LN(LEVEL!K122)</f>
        <v/>
      </c>
      <c r="L122" s="5">
        <f>LEVEL!L122</f>
        <v/>
      </c>
      <c r="M122" s="5">
        <f>LEVEL!M122</f>
        <v/>
      </c>
      <c r="N122" s="5">
        <f>100*LN(LEVEL!N122)</f>
        <v/>
      </c>
      <c r="O122" s="5">
        <f>100*LN(LEVEL!O122)</f>
        <v/>
      </c>
      <c r="P122" s="6">
        <f>IF(AND(YEAR($A122)=2020,MONTH($A122)=3),1,0)</f>
        <v/>
      </c>
      <c r="Q122" s="6">
        <f>IF(AND(YEAR($A122)=2020,MONTH($A122)=4),1,0)</f>
        <v/>
      </c>
      <c r="R122" s="6">
        <f>IF(AND(YEAR($A122)=2020,MONTH($A122)=5),1,0)</f>
        <v/>
      </c>
      <c r="S122" s="6">
        <f>IF(AND(YEAR($A122)=2020,MONTH($A122)=6),1,0)</f>
        <v/>
      </c>
    </row>
    <row r="123">
      <c r="A123" s="3" t="n">
        <v>40210</v>
      </c>
      <c r="B123" s="4" t="inlineStr">
        <is>
          <t>2010m2</t>
        </is>
      </c>
      <c r="C123" s="5">
        <f>100*LN(LEVEL!C123)</f>
        <v/>
      </c>
      <c r="D123" s="5">
        <f>100*LN(LEVEL!D123)</f>
        <v/>
      </c>
      <c r="E123" s="5">
        <f>100*LN(LEVEL!E123)</f>
        <v/>
      </c>
      <c r="F123" s="5">
        <f>LEVEL!F123</f>
        <v/>
      </c>
      <c r="G123" s="5">
        <f>LEVEL!G123</f>
        <v/>
      </c>
      <c r="H123" s="5">
        <f>100*LN(LEVEL!H123)</f>
        <v/>
      </c>
      <c r="I123" s="5">
        <f>100*LN(LEVEL!I123)</f>
        <v/>
      </c>
      <c r="J123" s="5">
        <f>100*LN(LEVEL!J123)</f>
        <v/>
      </c>
      <c r="K123" s="5">
        <f>100*LN(LEVEL!K123)</f>
        <v/>
      </c>
      <c r="L123" s="5">
        <f>LEVEL!L123</f>
        <v/>
      </c>
      <c r="M123" s="5">
        <f>LEVEL!M123</f>
        <v/>
      </c>
      <c r="N123" s="5">
        <f>100*LN(LEVEL!N123)</f>
        <v/>
      </c>
      <c r="O123" s="5">
        <f>100*LN(LEVEL!O123)</f>
        <v/>
      </c>
      <c r="P123" s="6">
        <f>IF(AND(YEAR($A123)=2020,MONTH($A123)=3),1,0)</f>
        <v/>
      </c>
      <c r="Q123" s="6">
        <f>IF(AND(YEAR($A123)=2020,MONTH($A123)=4),1,0)</f>
        <v/>
      </c>
      <c r="R123" s="6">
        <f>IF(AND(YEAR($A123)=2020,MONTH($A123)=5),1,0)</f>
        <v/>
      </c>
      <c r="S123" s="6">
        <f>IF(AND(YEAR($A123)=2020,MONTH($A123)=6),1,0)</f>
        <v/>
      </c>
    </row>
    <row r="124">
      <c r="A124" s="3" t="n">
        <v>40238</v>
      </c>
      <c r="B124" s="4" t="inlineStr">
        <is>
          <t>2010m3</t>
        </is>
      </c>
      <c r="C124" s="5">
        <f>100*LN(LEVEL!C124)</f>
        <v/>
      </c>
      <c r="D124" s="5">
        <f>100*LN(LEVEL!D124)</f>
        <v/>
      </c>
      <c r="E124" s="5">
        <f>100*LN(LEVEL!E124)</f>
        <v/>
      </c>
      <c r="F124" s="5">
        <f>LEVEL!F124</f>
        <v/>
      </c>
      <c r="G124" s="5">
        <f>LEVEL!G124</f>
        <v/>
      </c>
      <c r="H124" s="5">
        <f>100*LN(LEVEL!H124)</f>
        <v/>
      </c>
      <c r="I124" s="5">
        <f>100*LN(LEVEL!I124)</f>
        <v/>
      </c>
      <c r="J124" s="5">
        <f>100*LN(LEVEL!J124)</f>
        <v/>
      </c>
      <c r="K124" s="5">
        <f>100*LN(LEVEL!K124)</f>
        <v/>
      </c>
      <c r="L124" s="5">
        <f>LEVEL!L124</f>
        <v/>
      </c>
      <c r="M124" s="5">
        <f>LEVEL!M124</f>
        <v/>
      </c>
      <c r="N124" s="5">
        <f>100*LN(LEVEL!N124)</f>
        <v/>
      </c>
      <c r="O124" s="5">
        <f>100*LN(LEVEL!O124)</f>
        <v/>
      </c>
      <c r="P124" s="6">
        <f>IF(AND(YEAR($A124)=2020,MONTH($A124)=3),1,0)</f>
        <v/>
      </c>
      <c r="Q124" s="6">
        <f>IF(AND(YEAR($A124)=2020,MONTH($A124)=4),1,0)</f>
        <v/>
      </c>
      <c r="R124" s="6">
        <f>IF(AND(YEAR($A124)=2020,MONTH($A124)=5),1,0)</f>
        <v/>
      </c>
      <c r="S124" s="6">
        <f>IF(AND(YEAR($A124)=2020,MONTH($A124)=6),1,0)</f>
        <v/>
      </c>
    </row>
    <row r="125">
      <c r="A125" s="3" t="n">
        <v>40269</v>
      </c>
      <c r="B125" s="4" t="inlineStr">
        <is>
          <t>2010m4</t>
        </is>
      </c>
      <c r="C125" s="5">
        <f>100*LN(LEVEL!C125)</f>
        <v/>
      </c>
      <c r="D125" s="5">
        <f>100*LN(LEVEL!D125)</f>
        <v/>
      </c>
      <c r="E125" s="5">
        <f>100*LN(LEVEL!E125)</f>
        <v/>
      </c>
      <c r="F125" s="5">
        <f>LEVEL!F125</f>
        <v/>
      </c>
      <c r="G125" s="5">
        <f>LEVEL!G125</f>
        <v/>
      </c>
      <c r="H125" s="5">
        <f>100*LN(LEVEL!H125)</f>
        <v/>
      </c>
      <c r="I125" s="5">
        <f>100*LN(LEVEL!I125)</f>
        <v/>
      </c>
      <c r="J125" s="5">
        <f>100*LN(LEVEL!J125)</f>
        <v/>
      </c>
      <c r="K125" s="5">
        <f>100*LN(LEVEL!K125)</f>
        <v/>
      </c>
      <c r="L125" s="5">
        <f>LEVEL!L125</f>
        <v/>
      </c>
      <c r="M125" s="5">
        <f>LEVEL!M125</f>
        <v/>
      </c>
      <c r="N125" s="5">
        <f>100*LN(LEVEL!N125)</f>
        <v/>
      </c>
      <c r="O125" s="5">
        <f>100*LN(LEVEL!O125)</f>
        <v/>
      </c>
      <c r="P125" s="6">
        <f>IF(AND(YEAR($A125)=2020,MONTH($A125)=3),1,0)</f>
        <v/>
      </c>
      <c r="Q125" s="6">
        <f>IF(AND(YEAR($A125)=2020,MONTH($A125)=4),1,0)</f>
        <v/>
      </c>
      <c r="R125" s="6">
        <f>IF(AND(YEAR($A125)=2020,MONTH($A125)=5),1,0)</f>
        <v/>
      </c>
      <c r="S125" s="6">
        <f>IF(AND(YEAR($A125)=2020,MONTH($A125)=6),1,0)</f>
        <v/>
      </c>
    </row>
    <row r="126">
      <c r="A126" s="3" t="n">
        <v>40299</v>
      </c>
      <c r="B126" s="4" t="inlineStr">
        <is>
          <t>2010m5</t>
        </is>
      </c>
      <c r="C126" s="5">
        <f>100*LN(LEVEL!C126)</f>
        <v/>
      </c>
      <c r="D126" s="5">
        <f>100*LN(LEVEL!D126)</f>
        <v/>
      </c>
      <c r="E126" s="5">
        <f>100*LN(LEVEL!E126)</f>
        <v/>
      </c>
      <c r="F126" s="5">
        <f>LEVEL!F126</f>
        <v/>
      </c>
      <c r="G126" s="5">
        <f>LEVEL!G126</f>
        <v/>
      </c>
      <c r="H126" s="5">
        <f>100*LN(LEVEL!H126)</f>
        <v/>
      </c>
      <c r="I126" s="5">
        <f>100*LN(LEVEL!I126)</f>
        <v/>
      </c>
      <c r="J126" s="5">
        <f>100*LN(LEVEL!J126)</f>
        <v/>
      </c>
      <c r="K126" s="5">
        <f>100*LN(LEVEL!K126)</f>
        <v/>
      </c>
      <c r="L126" s="5">
        <f>LEVEL!L126</f>
        <v/>
      </c>
      <c r="M126" s="5">
        <f>LEVEL!M126</f>
        <v/>
      </c>
      <c r="N126" s="5">
        <f>100*LN(LEVEL!N126)</f>
        <v/>
      </c>
      <c r="O126" s="5">
        <f>100*LN(LEVEL!O126)</f>
        <v/>
      </c>
      <c r="P126" s="6">
        <f>IF(AND(YEAR($A126)=2020,MONTH($A126)=3),1,0)</f>
        <v/>
      </c>
      <c r="Q126" s="6">
        <f>IF(AND(YEAR($A126)=2020,MONTH($A126)=4),1,0)</f>
        <v/>
      </c>
      <c r="R126" s="6">
        <f>IF(AND(YEAR($A126)=2020,MONTH($A126)=5),1,0)</f>
        <v/>
      </c>
      <c r="S126" s="6">
        <f>IF(AND(YEAR($A126)=2020,MONTH($A126)=6),1,0)</f>
        <v/>
      </c>
    </row>
    <row r="127">
      <c r="A127" s="3" t="n">
        <v>40330</v>
      </c>
      <c r="B127" s="4" t="inlineStr">
        <is>
          <t>2010m6</t>
        </is>
      </c>
      <c r="C127" s="5">
        <f>100*LN(LEVEL!C127)</f>
        <v/>
      </c>
      <c r="D127" s="5">
        <f>100*LN(LEVEL!D127)</f>
        <v/>
      </c>
      <c r="E127" s="5">
        <f>100*LN(LEVEL!E127)</f>
        <v/>
      </c>
      <c r="F127" s="5">
        <f>LEVEL!F127</f>
        <v/>
      </c>
      <c r="G127" s="5">
        <f>LEVEL!G127</f>
        <v/>
      </c>
      <c r="H127" s="5">
        <f>100*LN(LEVEL!H127)</f>
        <v/>
      </c>
      <c r="I127" s="5">
        <f>100*LN(LEVEL!I127)</f>
        <v/>
      </c>
      <c r="J127" s="5">
        <f>100*LN(LEVEL!J127)</f>
        <v/>
      </c>
      <c r="K127" s="5">
        <f>100*LN(LEVEL!K127)</f>
        <v/>
      </c>
      <c r="L127" s="5">
        <f>LEVEL!L127</f>
        <v/>
      </c>
      <c r="M127" s="5">
        <f>LEVEL!M127</f>
        <v/>
      </c>
      <c r="N127" s="5">
        <f>100*LN(LEVEL!N127)</f>
        <v/>
      </c>
      <c r="O127" s="5">
        <f>100*LN(LEVEL!O127)</f>
        <v/>
      </c>
      <c r="P127" s="6">
        <f>IF(AND(YEAR($A127)=2020,MONTH($A127)=3),1,0)</f>
        <v/>
      </c>
      <c r="Q127" s="6">
        <f>IF(AND(YEAR($A127)=2020,MONTH($A127)=4),1,0)</f>
        <v/>
      </c>
      <c r="R127" s="6">
        <f>IF(AND(YEAR($A127)=2020,MONTH($A127)=5),1,0)</f>
        <v/>
      </c>
      <c r="S127" s="6">
        <f>IF(AND(YEAR($A127)=2020,MONTH($A127)=6),1,0)</f>
        <v/>
      </c>
    </row>
    <row r="128">
      <c r="A128" s="3" t="n">
        <v>40360</v>
      </c>
      <c r="B128" s="4" t="inlineStr">
        <is>
          <t>2010m7</t>
        </is>
      </c>
      <c r="C128" s="5">
        <f>100*LN(LEVEL!C128)</f>
        <v/>
      </c>
      <c r="D128" s="5">
        <f>100*LN(LEVEL!D128)</f>
        <v/>
      </c>
      <c r="E128" s="5">
        <f>100*LN(LEVEL!E128)</f>
        <v/>
      </c>
      <c r="F128" s="5">
        <f>LEVEL!F128</f>
        <v/>
      </c>
      <c r="G128" s="5">
        <f>LEVEL!G128</f>
        <v/>
      </c>
      <c r="H128" s="5">
        <f>100*LN(LEVEL!H128)</f>
        <v/>
      </c>
      <c r="I128" s="5">
        <f>100*LN(LEVEL!I128)</f>
        <v/>
      </c>
      <c r="J128" s="5">
        <f>100*LN(LEVEL!J128)</f>
        <v/>
      </c>
      <c r="K128" s="5">
        <f>100*LN(LEVEL!K128)</f>
        <v/>
      </c>
      <c r="L128" s="5">
        <f>LEVEL!L128</f>
        <v/>
      </c>
      <c r="M128" s="5">
        <f>LEVEL!M128</f>
        <v/>
      </c>
      <c r="N128" s="5">
        <f>100*LN(LEVEL!N128)</f>
        <v/>
      </c>
      <c r="O128" s="5">
        <f>100*LN(LEVEL!O128)</f>
        <v/>
      </c>
      <c r="P128" s="6">
        <f>IF(AND(YEAR($A128)=2020,MONTH($A128)=3),1,0)</f>
        <v/>
      </c>
      <c r="Q128" s="6">
        <f>IF(AND(YEAR($A128)=2020,MONTH($A128)=4),1,0)</f>
        <v/>
      </c>
      <c r="R128" s="6">
        <f>IF(AND(YEAR($A128)=2020,MONTH($A128)=5),1,0)</f>
        <v/>
      </c>
      <c r="S128" s="6">
        <f>IF(AND(YEAR($A128)=2020,MONTH($A128)=6),1,0)</f>
        <v/>
      </c>
    </row>
    <row r="129">
      <c r="A129" s="3" t="n">
        <v>40391</v>
      </c>
      <c r="B129" s="4" t="inlineStr">
        <is>
          <t>2010m8</t>
        </is>
      </c>
      <c r="C129" s="5">
        <f>100*LN(LEVEL!C129)</f>
        <v/>
      </c>
      <c r="D129" s="5">
        <f>100*LN(LEVEL!D129)</f>
        <v/>
      </c>
      <c r="E129" s="5">
        <f>100*LN(LEVEL!E129)</f>
        <v/>
      </c>
      <c r="F129" s="5">
        <f>LEVEL!F129</f>
        <v/>
      </c>
      <c r="G129" s="5">
        <f>LEVEL!G129</f>
        <v/>
      </c>
      <c r="H129" s="5">
        <f>100*LN(LEVEL!H129)</f>
        <v/>
      </c>
      <c r="I129" s="5">
        <f>100*LN(LEVEL!I129)</f>
        <v/>
      </c>
      <c r="J129" s="5">
        <f>100*LN(LEVEL!J129)</f>
        <v/>
      </c>
      <c r="K129" s="5">
        <f>100*LN(LEVEL!K129)</f>
        <v/>
      </c>
      <c r="L129" s="5">
        <f>LEVEL!L129</f>
        <v/>
      </c>
      <c r="M129" s="5">
        <f>LEVEL!M129</f>
        <v/>
      </c>
      <c r="N129" s="5">
        <f>100*LN(LEVEL!N129)</f>
        <v/>
      </c>
      <c r="O129" s="5">
        <f>100*LN(LEVEL!O129)</f>
        <v/>
      </c>
      <c r="P129" s="6">
        <f>IF(AND(YEAR($A129)=2020,MONTH($A129)=3),1,0)</f>
        <v/>
      </c>
      <c r="Q129" s="6">
        <f>IF(AND(YEAR($A129)=2020,MONTH($A129)=4),1,0)</f>
        <v/>
      </c>
      <c r="R129" s="6">
        <f>IF(AND(YEAR($A129)=2020,MONTH($A129)=5),1,0)</f>
        <v/>
      </c>
      <c r="S129" s="6">
        <f>IF(AND(YEAR($A129)=2020,MONTH($A129)=6),1,0)</f>
        <v/>
      </c>
    </row>
    <row r="130">
      <c r="A130" s="3" t="n">
        <v>40422</v>
      </c>
      <c r="B130" s="4" t="inlineStr">
        <is>
          <t>2010m9</t>
        </is>
      </c>
      <c r="C130" s="5">
        <f>100*LN(LEVEL!C130)</f>
        <v/>
      </c>
      <c r="D130" s="5">
        <f>100*LN(LEVEL!D130)</f>
        <v/>
      </c>
      <c r="E130" s="5">
        <f>100*LN(LEVEL!E130)</f>
        <v/>
      </c>
      <c r="F130" s="5">
        <f>LEVEL!F130</f>
        <v/>
      </c>
      <c r="G130" s="5">
        <f>LEVEL!G130</f>
        <v/>
      </c>
      <c r="H130" s="5">
        <f>100*LN(LEVEL!H130)</f>
        <v/>
      </c>
      <c r="I130" s="5">
        <f>100*LN(LEVEL!I130)</f>
        <v/>
      </c>
      <c r="J130" s="5">
        <f>100*LN(LEVEL!J130)</f>
        <v/>
      </c>
      <c r="K130" s="5">
        <f>100*LN(LEVEL!K130)</f>
        <v/>
      </c>
      <c r="L130" s="5">
        <f>LEVEL!L130</f>
        <v/>
      </c>
      <c r="M130" s="5">
        <f>LEVEL!M130</f>
        <v/>
      </c>
      <c r="N130" s="5">
        <f>100*LN(LEVEL!N130)</f>
        <v/>
      </c>
      <c r="O130" s="5">
        <f>100*LN(LEVEL!O130)</f>
        <v/>
      </c>
      <c r="P130" s="6">
        <f>IF(AND(YEAR($A130)=2020,MONTH($A130)=3),1,0)</f>
        <v/>
      </c>
      <c r="Q130" s="6">
        <f>IF(AND(YEAR($A130)=2020,MONTH($A130)=4),1,0)</f>
        <v/>
      </c>
      <c r="R130" s="6">
        <f>IF(AND(YEAR($A130)=2020,MONTH($A130)=5),1,0)</f>
        <v/>
      </c>
      <c r="S130" s="6">
        <f>IF(AND(YEAR($A130)=2020,MONTH($A130)=6),1,0)</f>
        <v/>
      </c>
    </row>
    <row r="131">
      <c r="A131" s="3" t="n">
        <v>40452</v>
      </c>
      <c r="B131" s="4" t="inlineStr">
        <is>
          <t>2010m10</t>
        </is>
      </c>
      <c r="C131" s="5">
        <f>100*LN(LEVEL!C131)</f>
        <v/>
      </c>
      <c r="D131" s="5">
        <f>100*LN(LEVEL!D131)</f>
        <v/>
      </c>
      <c r="E131" s="5">
        <f>100*LN(LEVEL!E131)</f>
        <v/>
      </c>
      <c r="F131" s="5">
        <f>LEVEL!F131</f>
        <v/>
      </c>
      <c r="G131" s="5">
        <f>LEVEL!G131</f>
        <v/>
      </c>
      <c r="H131" s="5">
        <f>100*LN(LEVEL!H131)</f>
        <v/>
      </c>
      <c r="I131" s="5">
        <f>100*LN(LEVEL!I131)</f>
        <v/>
      </c>
      <c r="J131" s="5">
        <f>100*LN(LEVEL!J131)</f>
        <v/>
      </c>
      <c r="K131" s="5">
        <f>100*LN(LEVEL!K131)</f>
        <v/>
      </c>
      <c r="L131" s="5">
        <f>LEVEL!L131</f>
        <v/>
      </c>
      <c r="M131" s="5">
        <f>LEVEL!M131</f>
        <v/>
      </c>
      <c r="N131" s="5">
        <f>100*LN(LEVEL!N131)</f>
        <v/>
      </c>
      <c r="O131" s="5">
        <f>100*LN(LEVEL!O131)</f>
        <v/>
      </c>
      <c r="P131" s="6">
        <f>IF(AND(YEAR($A131)=2020,MONTH($A131)=3),1,0)</f>
        <v/>
      </c>
      <c r="Q131" s="6">
        <f>IF(AND(YEAR($A131)=2020,MONTH($A131)=4),1,0)</f>
        <v/>
      </c>
      <c r="R131" s="6">
        <f>IF(AND(YEAR($A131)=2020,MONTH($A131)=5),1,0)</f>
        <v/>
      </c>
      <c r="S131" s="6">
        <f>IF(AND(YEAR($A131)=2020,MONTH($A131)=6),1,0)</f>
        <v/>
      </c>
    </row>
    <row r="132">
      <c r="A132" s="3" t="n">
        <v>40483</v>
      </c>
      <c r="B132" s="4" t="inlineStr">
        <is>
          <t>2010m11</t>
        </is>
      </c>
      <c r="C132" s="5">
        <f>100*LN(LEVEL!C132)</f>
        <v/>
      </c>
      <c r="D132" s="5">
        <f>100*LN(LEVEL!D132)</f>
        <v/>
      </c>
      <c r="E132" s="5">
        <f>100*LN(LEVEL!E132)</f>
        <v/>
      </c>
      <c r="F132" s="5">
        <f>LEVEL!F132</f>
        <v/>
      </c>
      <c r="G132" s="5">
        <f>LEVEL!G132</f>
        <v/>
      </c>
      <c r="H132" s="5">
        <f>100*LN(LEVEL!H132)</f>
        <v/>
      </c>
      <c r="I132" s="5">
        <f>100*LN(LEVEL!I132)</f>
        <v/>
      </c>
      <c r="J132" s="5">
        <f>100*LN(LEVEL!J132)</f>
        <v/>
      </c>
      <c r="K132" s="5">
        <f>100*LN(LEVEL!K132)</f>
        <v/>
      </c>
      <c r="L132" s="5">
        <f>LEVEL!L132</f>
        <v/>
      </c>
      <c r="M132" s="5">
        <f>LEVEL!M132</f>
        <v/>
      </c>
      <c r="N132" s="5">
        <f>100*LN(LEVEL!N132)</f>
        <v/>
      </c>
      <c r="O132" s="5">
        <f>100*LN(LEVEL!O132)</f>
        <v/>
      </c>
      <c r="P132" s="6">
        <f>IF(AND(YEAR($A132)=2020,MONTH($A132)=3),1,0)</f>
        <v/>
      </c>
      <c r="Q132" s="6">
        <f>IF(AND(YEAR($A132)=2020,MONTH($A132)=4),1,0)</f>
        <v/>
      </c>
      <c r="R132" s="6">
        <f>IF(AND(YEAR($A132)=2020,MONTH($A132)=5),1,0)</f>
        <v/>
      </c>
      <c r="S132" s="6">
        <f>IF(AND(YEAR($A132)=2020,MONTH($A132)=6),1,0)</f>
        <v/>
      </c>
    </row>
    <row r="133">
      <c r="A133" s="3" t="n">
        <v>40513</v>
      </c>
      <c r="B133" s="4" t="inlineStr">
        <is>
          <t>2010m12</t>
        </is>
      </c>
      <c r="C133" s="5">
        <f>100*LN(LEVEL!C133)</f>
        <v/>
      </c>
      <c r="D133" s="5">
        <f>100*LN(LEVEL!D133)</f>
        <v/>
      </c>
      <c r="E133" s="5">
        <f>100*LN(LEVEL!E133)</f>
        <v/>
      </c>
      <c r="F133" s="5">
        <f>LEVEL!F133</f>
        <v/>
      </c>
      <c r="G133" s="5">
        <f>LEVEL!G133</f>
        <v/>
      </c>
      <c r="H133" s="5">
        <f>100*LN(LEVEL!H133)</f>
        <v/>
      </c>
      <c r="I133" s="5">
        <f>100*LN(LEVEL!I133)</f>
        <v/>
      </c>
      <c r="J133" s="5">
        <f>100*LN(LEVEL!J133)</f>
        <v/>
      </c>
      <c r="K133" s="5">
        <f>100*LN(LEVEL!K133)</f>
        <v/>
      </c>
      <c r="L133" s="5">
        <f>LEVEL!L133</f>
        <v/>
      </c>
      <c r="M133" s="5">
        <f>LEVEL!M133</f>
        <v/>
      </c>
      <c r="N133" s="5">
        <f>100*LN(LEVEL!N133)</f>
        <v/>
      </c>
      <c r="O133" s="5">
        <f>100*LN(LEVEL!O133)</f>
        <v/>
      </c>
      <c r="P133" s="6">
        <f>IF(AND(YEAR($A133)=2020,MONTH($A133)=3),1,0)</f>
        <v/>
      </c>
      <c r="Q133" s="6">
        <f>IF(AND(YEAR($A133)=2020,MONTH($A133)=4),1,0)</f>
        <v/>
      </c>
      <c r="R133" s="6">
        <f>IF(AND(YEAR($A133)=2020,MONTH($A133)=5),1,0)</f>
        <v/>
      </c>
      <c r="S133" s="6">
        <f>IF(AND(YEAR($A133)=2020,MONTH($A133)=6),1,0)</f>
        <v/>
      </c>
    </row>
    <row r="134">
      <c r="A134" s="3" t="n">
        <v>40544</v>
      </c>
      <c r="B134" s="4" t="inlineStr">
        <is>
          <t>2011m1</t>
        </is>
      </c>
      <c r="C134" s="5">
        <f>100*LN(LEVEL!C134)</f>
        <v/>
      </c>
      <c r="D134" s="5">
        <f>100*LN(LEVEL!D134)</f>
        <v/>
      </c>
      <c r="E134" s="5">
        <f>100*LN(LEVEL!E134)</f>
        <v/>
      </c>
      <c r="F134" s="5">
        <f>LEVEL!F134</f>
        <v/>
      </c>
      <c r="G134" s="5">
        <f>LEVEL!G134</f>
        <v/>
      </c>
      <c r="H134" s="5">
        <f>100*LN(LEVEL!H134)</f>
        <v/>
      </c>
      <c r="I134" s="5">
        <f>100*LN(LEVEL!I134)</f>
        <v/>
      </c>
      <c r="J134" s="5">
        <f>100*LN(LEVEL!J134)</f>
        <v/>
      </c>
      <c r="K134" s="5">
        <f>100*LN(LEVEL!K134)</f>
        <v/>
      </c>
      <c r="L134" s="5">
        <f>LEVEL!L134</f>
        <v/>
      </c>
      <c r="M134" s="5">
        <f>LEVEL!M134</f>
        <v/>
      </c>
      <c r="N134" s="5">
        <f>100*LN(LEVEL!N134)</f>
        <v/>
      </c>
      <c r="O134" s="5">
        <f>100*LN(LEVEL!O134)</f>
        <v/>
      </c>
      <c r="P134" s="6">
        <f>IF(AND(YEAR($A134)=2020,MONTH($A134)=3),1,0)</f>
        <v/>
      </c>
      <c r="Q134" s="6">
        <f>IF(AND(YEAR($A134)=2020,MONTH($A134)=4),1,0)</f>
        <v/>
      </c>
      <c r="R134" s="6">
        <f>IF(AND(YEAR($A134)=2020,MONTH($A134)=5),1,0)</f>
        <v/>
      </c>
      <c r="S134" s="6">
        <f>IF(AND(YEAR($A134)=2020,MONTH($A134)=6),1,0)</f>
        <v/>
      </c>
    </row>
    <row r="135">
      <c r="A135" s="3" t="n">
        <v>40575</v>
      </c>
      <c r="B135" s="4" t="inlineStr">
        <is>
          <t>2011m2</t>
        </is>
      </c>
      <c r="C135" s="5">
        <f>100*LN(LEVEL!C135)</f>
        <v/>
      </c>
      <c r="D135" s="5">
        <f>100*LN(LEVEL!D135)</f>
        <v/>
      </c>
      <c r="E135" s="5">
        <f>100*LN(LEVEL!E135)</f>
        <v/>
      </c>
      <c r="F135" s="5">
        <f>LEVEL!F135</f>
        <v/>
      </c>
      <c r="G135" s="5">
        <f>LEVEL!G135</f>
        <v/>
      </c>
      <c r="H135" s="5">
        <f>100*LN(LEVEL!H135)</f>
        <v/>
      </c>
      <c r="I135" s="5">
        <f>100*LN(LEVEL!I135)</f>
        <v/>
      </c>
      <c r="J135" s="5">
        <f>100*LN(LEVEL!J135)</f>
        <v/>
      </c>
      <c r="K135" s="5">
        <f>100*LN(LEVEL!K135)</f>
        <v/>
      </c>
      <c r="L135" s="5">
        <f>LEVEL!L135</f>
        <v/>
      </c>
      <c r="M135" s="5">
        <f>LEVEL!M135</f>
        <v/>
      </c>
      <c r="N135" s="5">
        <f>100*LN(LEVEL!N135)</f>
        <v/>
      </c>
      <c r="O135" s="5">
        <f>100*LN(LEVEL!O135)</f>
        <v/>
      </c>
      <c r="P135" s="6">
        <f>IF(AND(YEAR($A135)=2020,MONTH($A135)=3),1,0)</f>
        <v/>
      </c>
      <c r="Q135" s="6">
        <f>IF(AND(YEAR($A135)=2020,MONTH($A135)=4),1,0)</f>
        <v/>
      </c>
      <c r="R135" s="6">
        <f>IF(AND(YEAR($A135)=2020,MONTH($A135)=5),1,0)</f>
        <v/>
      </c>
      <c r="S135" s="6">
        <f>IF(AND(YEAR($A135)=2020,MONTH($A135)=6),1,0)</f>
        <v/>
      </c>
    </row>
    <row r="136">
      <c r="A136" s="3" t="n">
        <v>40603</v>
      </c>
      <c r="B136" s="4" t="inlineStr">
        <is>
          <t>2011m3</t>
        </is>
      </c>
      <c r="C136" s="5">
        <f>100*LN(LEVEL!C136)</f>
        <v/>
      </c>
      <c r="D136" s="5">
        <f>100*LN(LEVEL!D136)</f>
        <v/>
      </c>
      <c r="E136" s="5">
        <f>100*LN(LEVEL!E136)</f>
        <v/>
      </c>
      <c r="F136" s="5">
        <f>LEVEL!F136</f>
        <v/>
      </c>
      <c r="G136" s="5">
        <f>LEVEL!G136</f>
        <v/>
      </c>
      <c r="H136" s="5">
        <f>100*LN(LEVEL!H136)</f>
        <v/>
      </c>
      <c r="I136" s="5">
        <f>100*LN(LEVEL!I136)</f>
        <v/>
      </c>
      <c r="J136" s="5">
        <f>100*LN(LEVEL!J136)</f>
        <v/>
      </c>
      <c r="K136" s="5">
        <f>100*LN(LEVEL!K136)</f>
        <v/>
      </c>
      <c r="L136" s="5">
        <f>LEVEL!L136</f>
        <v/>
      </c>
      <c r="M136" s="5">
        <f>LEVEL!M136</f>
        <v/>
      </c>
      <c r="N136" s="5">
        <f>100*LN(LEVEL!N136)</f>
        <v/>
      </c>
      <c r="O136" s="5">
        <f>100*LN(LEVEL!O136)</f>
        <v/>
      </c>
      <c r="P136" s="6">
        <f>IF(AND(YEAR($A136)=2020,MONTH($A136)=3),1,0)</f>
        <v/>
      </c>
      <c r="Q136" s="6">
        <f>IF(AND(YEAR($A136)=2020,MONTH($A136)=4),1,0)</f>
        <v/>
      </c>
      <c r="R136" s="6">
        <f>IF(AND(YEAR($A136)=2020,MONTH($A136)=5),1,0)</f>
        <v/>
      </c>
      <c r="S136" s="6">
        <f>IF(AND(YEAR($A136)=2020,MONTH($A136)=6),1,0)</f>
        <v/>
      </c>
    </row>
    <row r="137">
      <c r="A137" s="3" t="n">
        <v>40634</v>
      </c>
      <c r="B137" s="4" t="inlineStr">
        <is>
          <t>2011m4</t>
        </is>
      </c>
      <c r="C137" s="5">
        <f>100*LN(LEVEL!C137)</f>
        <v/>
      </c>
      <c r="D137" s="5">
        <f>100*LN(LEVEL!D137)</f>
        <v/>
      </c>
      <c r="E137" s="5">
        <f>100*LN(LEVEL!E137)</f>
        <v/>
      </c>
      <c r="F137" s="5">
        <f>LEVEL!F137</f>
        <v/>
      </c>
      <c r="G137" s="5">
        <f>LEVEL!G137</f>
        <v/>
      </c>
      <c r="H137" s="5">
        <f>100*LN(LEVEL!H137)</f>
        <v/>
      </c>
      <c r="I137" s="5">
        <f>100*LN(LEVEL!I137)</f>
        <v/>
      </c>
      <c r="J137" s="5">
        <f>100*LN(LEVEL!J137)</f>
        <v/>
      </c>
      <c r="K137" s="5">
        <f>100*LN(LEVEL!K137)</f>
        <v/>
      </c>
      <c r="L137" s="5">
        <f>LEVEL!L137</f>
        <v/>
      </c>
      <c r="M137" s="5">
        <f>LEVEL!M137</f>
        <v/>
      </c>
      <c r="N137" s="5">
        <f>100*LN(LEVEL!N137)</f>
        <v/>
      </c>
      <c r="O137" s="5">
        <f>100*LN(LEVEL!O137)</f>
        <v/>
      </c>
      <c r="P137" s="6">
        <f>IF(AND(YEAR($A137)=2020,MONTH($A137)=3),1,0)</f>
        <v/>
      </c>
      <c r="Q137" s="6">
        <f>IF(AND(YEAR($A137)=2020,MONTH($A137)=4),1,0)</f>
        <v/>
      </c>
      <c r="R137" s="6">
        <f>IF(AND(YEAR($A137)=2020,MONTH($A137)=5),1,0)</f>
        <v/>
      </c>
      <c r="S137" s="6">
        <f>IF(AND(YEAR($A137)=2020,MONTH($A137)=6),1,0)</f>
        <v/>
      </c>
    </row>
    <row r="138">
      <c r="A138" s="3" t="n">
        <v>40664</v>
      </c>
      <c r="B138" s="4" t="inlineStr">
        <is>
          <t>2011m5</t>
        </is>
      </c>
      <c r="C138" s="5">
        <f>100*LN(LEVEL!C138)</f>
        <v/>
      </c>
      <c r="D138" s="5">
        <f>100*LN(LEVEL!D138)</f>
        <v/>
      </c>
      <c r="E138" s="5">
        <f>100*LN(LEVEL!E138)</f>
        <v/>
      </c>
      <c r="F138" s="5">
        <f>LEVEL!F138</f>
        <v/>
      </c>
      <c r="G138" s="5">
        <f>LEVEL!G138</f>
        <v/>
      </c>
      <c r="H138" s="5">
        <f>100*LN(LEVEL!H138)</f>
        <v/>
      </c>
      <c r="I138" s="5">
        <f>100*LN(LEVEL!I138)</f>
        <v/>
      </c>
      <c r="J138" s="5">
        <f>100*LN(LEVEL!J138)</f>
        <v/>
      </c>
      <c r="K138" s="5">
        <f>100*LN(LEVEL!K138)</f>
        <v/>
      </c>
      <c r="L138" s="5">
        <f>LEVEL!L138</f>
        <v/>
      </c>
      <c r="M138" s="5">
        <f>LEVEL!M138</f>
        <v/>
      </c>
      <c r="N138" s="5">
        <f>100*LN(LEVEL!N138)</f>
        <v/>
      </c>
      <c r="O138" s="5">
        <f>100*LN(LEVEL!O138)</f>
        <v/>
      </c>
      <c r="P138" s="6">
        <f>IF(AND(YEAR($A138)=2020,MONTH($A138)=3),1,0)</f>
        <v/>
      </c>
      <c r="Q138" s="6">
        <f>IF(AND(YEAR($A138)=2020,MONTH($A138)=4),1,0)</f>
        <v/>
      </c>
      <c r="R138" s="6">
        <f>IF(AND(YEAR($A138)=2020,MONTH($A138)=5),1,0)</f>
        <v/>
      </c>
      <c r="S138" s="6">
        <f>IF(AND(YEAR($A138)=2020,MONTH($A138)=6),1,0)</f>
        <v/>
      </c>
    </row>
    <row r="139">
      <c r="A139" s="3" t="n">
        <v>40695</v>
      </c>
      <c r="B139" s="4" t="inlineStr">
        <is>
          <t>2011m6</t>
        </is>
      </c>
      <c r="C139" s="5">
        <f>100*LN(LEVEL!C139)</f>
        <v/>
      </c>
      <c r="D139" s="5">
        <f>100*LN(LEVEL!D139)</f>
        <v/>
      </c>
      <c r="E139" s="5">
        <f>100*LN(LEVEL!E139)</f>
        <v/>
      </c>
      <c r="F139" s="5">
        <f>LEVEL!F139</f>
        <v/>
      </c>
      <c r="G139" s="5">
        <f>LEVEL!G139</f>
        <v/>
      </c>
      <c r="H139" s="5">
        <f>100*LN(LEVEL!H139)</f>
        <v/>
      </c>
      <c r="I139" s="5">
        <f>100*LN(LEVEL!I139)</f>
        <v/>
      </c>
      <c r="J139" s="5">
        <f>100*LN(LEVEL!J139)</f>
        <v/>
      </c>
      <c r="K139" s="5">
        <f>100*LN(LEVEL!K139)</f>
        <v/>
      </c>
      <c r="L139" s="5">
        <f>LEVEL!L139</f>
        <v/>
      </c>
      <c r="M139" s="5">
        <f>LEVEL!M139</f>
        <v/>
      </c>
      <c r="N139" s="5">
        <f>100*LN(LEVEL!N139)</f>
        <v/>
      </c>
      <c r="O139" s="5">
        <f>100*LN(LEVEL!O139)</f>
        <v/>
      </c>
      <c r="P139" s="6">
        <f>IF(AND(YEAR($A139)=2020,MONTH($A139)=3),1,0)</f>
        <v/>
      </c>
      <c r="Q139" s="6">
        <f>IF(AND(YEAR($A139)=2020,MONTH($A139)=4),1,0)</f>
        <v/>
      </c>
      <c r="R139" s="6">
        <f>IF(AND(YEAR($A139)=2020,MONTH($A139)=5),1,0)</f>
        <v/>
      </c>
      <c r="S139" s="6">
        <f>IF(AND(YEAR($A139)=2020,MONTH($A139)=6),1,0)</f>
        <v/>
      </c>
    </row>
    <row r="140">
      <c r="A140" s="3" t="n">
        <v>40725</v>
      </c>
      <c r="B140" s="4" t="inlineStr">
        <is>
          <t>2011m7</t>
        </is>
      </c>
      <c r="C140" s="5">
        <f>100*LN(LEVEL!C140)</f>
        <v/>
      </c>
      <c r="D140" s="5">
        <f>100*LN(LEVEL!D140)</f>
        <v/>
      </c>
      <c r="E140" s="5">
        <f>100*LN(LEVEL!E140)</f>
        <v/>
      </c>
      <c r="F140" s="5">
        <f>LEVEL!F140</f>
        <v/>
      </c>
      <c r="G140" s="5">
        <f>LEVEL!G140</f>
        <v/>
      </c>
      <c r="H140" s="5">
        <f>100*LN(LEVEL!H140)</f>
        <v/>
      </c>
      <c r="I140" s="5">
        <f>100*LN(LEVEL!I140)</f>
        <v/>
      </c>
      <c r="J140" s="5">
        <f>100*LN(LEVEL!J140)</f>
        <v/>
      </c>
      <c r="K140" s="5">
        <f>100*LN(LEVEL!K140)</f>
        <v/>
      </c>
      <c r="L140" s="5">
        <f>LEVEL!L140</f>
        <v/>
      </c>
      <c r="M140" s="5">
        <f>LEVEL!M140</f>
        <v/>
      </c>
      <c r="N140" s="5">
        <f>100*LN(LEVEL!N140)</f>
        <v/>
      </c>
      <c r="O140" s="5">
        <f>100*LN(LEVEL!O140)</f>
        <v/>
      </c>
      <c r="P140" s="6">
        <f>IF(AND(YEAR($A140)=2020,MONTH($A140)=3),1,0)</f>
        <v/>
      </c>
      <c r="Q140" s="6">
        <f>IF(AND(YEAR($A140)=2020,MONTH($A140)=4),1,0)</f>
        <v/>
      </c>
      <c r="R140" s="6">
        <f>IF(AND(YEAR($A140)=2020,MONTH($A140)=5),1,0)</f>
        <v/>
      </c>
      <c r="S140" s="6">
        <f>IF(AND(YEAR($A140)=2020,MONTH($A140)=6),1,0)</f>
        <v/>
      </c>
    </row>
    <row r="141">
      <c r="A141" s="3" t="n">
        <v>40756</v>
      </c>
      <c r="B141" s="4" t="inlineStr">
        <is>
          <t>2011m8</t>
        </is>
      </c>
      <c r="C141" s="5">
        <f>100*LN(LEVEL!C141)</f>
        <v/>
      </c>
      <c r="D141" s="5">
        <f>100*LN(LEVEL!D141)</f>
        <v/>
      </c>
      <c r="E141" s="5">
        <f>100*LN(LEVEL!E141)</f>
        <v/>
      </c>
      <c r="F141" s="5">
        <f>LEVEL!F141</f>
        <v/>
      </c>
      <c r="G141" s="5">
        <f>LEVEL!G141</f>
        <v/>
      </c>
      <c r="H141" s="5">
        <f>100*LN(LEVEL!H141)</f>
        <v/>
      </c>
      <c r="I141" s="5">
        <f>100*LN(LEVEL!I141)</f>
        <v/>
      </c>
      <c r="J141" s="5">
        <f>100*LN(LEVEL!J141)</f>
        <v/>
      </c>
      <c r="K141" s="5">
        <f>100*LN(LEVEL!K141)</f>
        <v/>
      </c>
      <c r="L141" s="5">
        <f>LEVEL!L141</f>
        <v/>
      </c>
      <c r="M141" s="5">
        <f>LEVEL!M141</f>
        <v/>
      </c>
      <c r="N141" s="5">
        <f>100*LN(LEVEL!N141)</f>
        <v/>
      </c>
      <c r="O141" s="5">
        <f>100*LN(LEVEL!O141)</f>
        <v/>
      </c>
      <c r="P141" s="6">
        <f>IF(AND(YEAR($A141)=2020,MONTH($A141)=3),1,0)</f>
        <v/>
      </c>
      <c r="Q141" s="6">
        <f>IF(AND(YEAR($A141)=2020,MONTH($A141)=4),1,0)</f>
        <v/>
      </c>
      <c r="R141" s="6">
        <f>IF(AND(YEAR($A141)=2020,MONTH($A141)=5),1,0)</f>
        <v/>
      </c>
      <c r="S141" s="6">
        <f>IF(AND(YEAR($A141)=2020,MONTH($A141)=6),1,0)</f>
        <v/>
      </c>
    </row>
    <row r="142">
      <c r="A142" s="3" t="n">
        <v>40787</v>
      </c>
      <c r="B142" s="4" t="inlineStr">
        <is>
          <t>2011m9</t>
        </is>
      </c>
      <c r="C142" s="5">
        <f>100*LN(LEVEL!C142)</f>
        <v/>
      </c>
      <c r="D142" s="5">
        <f>100*LN(LEVEL!D142)</f>
        <v/>
      </c>
      <c r="E142" s="5">
        <f>100*LN(LEVEL!E142)</f>
        <v/>
      </c>
      <c r="F142" s="5">
        <f>LEVEL!F142</f>
        <v/>
      </c>
      <c r="G142" s="5">
        <f>LEVEL!G142</f>
        <v/>
      </c>
      <c r="H142" s="5">
        <f>100*LN(LEVEL!H142)</f>
        <v/>
      </c>
      <c r="I142" s="5">
        <f>100*LN(LEVEL!I142)</f>
        <v/>
      </c>
      <c r="J142" s="5">
        <f>100*LN(LEVEL!J142)</f>
        <v/>
      </c>
      <c r="K142" s="5">
        <f>100*LN(LEVEL!K142)</f>
        <v/>
      </c>
      <c r="L142" s="5">
        <f>LEVEL!L142</f>
        <v/>
      </c>
      <c r="M142" s="5">
        <f>LEVEL!M142</f>
        <v/>
      </c>
      <c r="N142" s="5">
        <f>100*LN(LEVEL!N142)</f>
        <v/>
      </c>
      <c r="O142" s="5">
        <f>100*LN(LEVEL!O142)</f>
        <v/>
      </c>
      <c r="P142" s="6">
        <f>IF(AND(YEAR($A142)=2020,MONTH($A142)=3),1,0)</f>
        <v/>
      </c>
      <c r="Q142" s="6">
        <f>IF(AND(YEAR($A142)=2020,MONTH($A142)=4),1,0)</f>
        <v/>
      </c>
      <c r="R142" s="6">
        <f>IF(AND(YEAR($A142)=2020,MONTH($A142)=5),1,0)</f>
        <v/>
      </c>
      <c r="S142" s="6">
        <f>IF(AND(YEAR($A142)=2020,MONTH($A142)=6),1,0)</f>
        <v/>
      </c>
    </row>
    <row r="143">
      <c r="A143" s="3" t="n">
        <v>40817</v>
      </c>
      <c r="B143" s="4" t="inlineStr">
        <is>
          <t>2011m10</t>
        </is>
      </c>
      <c r="C143" s="5">
        <f>100*LN(LEVEL!C143)</f>
        <v/>
      </c>
      <c r="D143" s="5">
        <f>100*LN(LEVEL!D143)</f>
        <v/>
      </c>
      <c r="E143" s="5">
        <f>100*LN(LEVEL!E143)</f>
        <v/>
      </c>
      <c r="F143" s="5">
        <f>LEVEL!F143</f>
        <v/>
      </c>
      <c r="G143" s="5">
        <f>LEVEL!G143</f>
        <v/>
      </c>
      <c r="H143" s="5">
        <f>100*LN(LEVEL!H143)</f>
        <v/>
      </c>
      <c r="I143" s="5">
        <f>100*LN(LEVEL!I143)</f>
        <v/>
      </c>
      <c r="J143" s="5">
        <f>100*LN(LEVEL!J143)</f>
        <v/>
      </c>
      <c r="K143" s="5">
        <f>100*LN(LEVEL!K143)</f>
        <v/>
      </c>
      <c r="L143" s="5">
        <f>LEVEL!L143</f>
        <v/>
      </c>
      <c r="M143" s="5">
        <f>LEVEL!M143</f>
        <v/>
      </c>
      <c r="N143" s="5">
        <f>100*LN(LEVEL!N143)</f>
        <v/>
      </c>
      <c r="O143" s="5">
        <f>100*LN(LEVEL!O143)</f>
        <v/>
      </c>
      <c r="P143" s="6">
        <f>IF(AND(YEAR($A143)=2020,MONTH($A143)=3),1,0)</f>
        <v/>
      </c>
      <c r="Q143" s="6">
        <f>IF(AND(YEAR($A143)=2020,MONTH($A143)=4),1,0)</f>
        <v/>
      </c>
      <c r="R143" s="6">
        <f>IF(AND(YEAR($A143)=2020,MONTH($A143)=5),1,0)</f>
        <v/>
      </c>
      <c r="S143" s="6">
        <f>IF(AND(YEAR($A143)=2020,MONTH($A143)=6),1,0)</f>
        <v/>
      </c>
    </row>
    <row r="144">
      <c r="A144" s="3" t="n">
        <v>40848</v>
      </c>
      <c r="B144" s="4" t="inlineStr">
        <is>
          <t>2011m11</t>
        </is>
      </c>
      <c r="C144" s="5">
        <f>100*LN(LEVEL!C144)</f>
        <v/>
      </c>
      <c r="D144" s="5">
        <f>100*LN(LEVEL!D144)</f>
        <v/>
      </c>
      <c r="E144" s="5">
        <f>100*LN(LEVEL!E144)</f>
        <v/>
      </c>
      <c r="F144" s="5">
        <f>LEVEL!F144</f>
        <v/>
      </c>
      <c r="G144" s="5">
        <f>LEVEL!G144</f>
        <v/>
      </c>
      <c r="H144" s="5">
        <f>100*LN(LEVEL!H144)</f>
        <v/>
      </c>
      <c r="I144" s="5">
        <f>100*LN(LEVEL!I144)</f>
        <v/>
      </c>
      <c r="J144" s="5">
        <f>100*LN(LEVEL!J144)</f>
        <v/>
      </c>
      <c r="K144" s="5">
        <f>100*LN(LEVEL!K144)</f>
        <v/>
      </c>
      <c r="L144" s="5">
        <f>LEVEL!L144</f>
        <v/>
      </c>
      <c r="M144" s="5">
        <f>LEVEL!M144</f>
        <v/>
      </c>
      <c r="N144" s="5">
        <f>100*LN(LEVEL!N144)</f>
        <v/>
      </c>
      <c r="O144" s="5">
        <f>100*LN(LEVEL!O144)</f>
        <v/>
      </c>
      <c r="P144" s="6">
        <f>IF(AND(YEAR($A144)=2020,MONTH($A144)=3),1,0)</f>
        <v/>
      </c>
      <c r="Q144" s="6">
        <f>IF(AND(YEAR($A144)=2020,MONTH($A144)=4),1,0)</f>
        <v/>
      </c>
      <c r="R144" s="6">
        <f>IF(AND(YEAR($A144)=2020,MONTH($A144)=5),1,0)</f>
        <v/>
      </c>
      <c r="S144" s="6">
        <f>IF(AND(YEAR($A144)=2020,MONTH($A144)=6),1,0)</f>
        <v/>
      </c>
    </row>
    <row r="145">
      <c r="A145" s="3" t="n">
        <v>40878</v>
      </c>
      <c r="B145" s="4" t="inlineStr">
        <is>
          <t>2011m12</t>
        </is>
      </c>
      <c r="C145" s="5">
        <f>100*LN(LEVEL!C145)</f>
        <v/>
      </c>
      <c r="D145" s="5">
        <f>100*LN(LEVEL!D145)</f>
        <v/>
      </c>
      <c r="E145" s="5">
        <f>100*LN(LEVEL!E145)</f>
        <v/>
      </c>
      <c r="F145" s="5">
        <f>LEVEL!F145</f>
        <v/>
      </c>
      <c r="G145" s="5">
        <f>LEVEL!G145</f>
        <v/>
      </c>
      <c r="H145" s="5">
        <f>100*LN(LEVEL!H145)</f>
        <v/>
      </c>
      <c r="I145" s="5">
        <f>100*LN(LEVEL!I145)</f>
        <v/>
      </c>
      <c r="J145" s="5">
        <f>100*LN(LEVEL!J145)</f>
        <v/>
      </c>
      <c r="K145" s="5">
        <f>100*LN(LEVEL!K145)</f>
        <v/>
      </c>
      <c r="L145" s="5">
        <f>LEVEL!L145</f>
        <v/>
      </c>
      <c r="M145" s="5">
        <f>LEVEL!M145</f>
        <v/>
      </c>
      <c r="N145" s="5">
        <f>100*LN(LEVEL!N145)</f>
        <v/>
      </c>
      <c r="O145" s="5">
        <f>100*LN(LEVEL!O145)</f>
        <v/>
      </c>
      <c r="P145" s="6">
        <f>IF(AND(YEAR($A145)=2020,MONTH($A145)=3),1,0)</f>
        <v/>
      </c>
      <c r="Q145" s="6">
        <f>IF(AND(YEAR($A145)=2020,MONTH($A145)=4),1,0)</f>
        <v/>
      </c>
      <c r="R145" s="6">
        <f>IF(AND(YEAR($A145)=2020,MONTH($A145)=5),1,0)</f>
        <v/>
      </c>
      <c r="S145" s="6">
        <f>IF(AND(YEAR($A145)=2020,MONTH($A145)=6),1,0)</f>
        <v/>
      </c>
    </row>
    <row r="146">
      <c r="A146" s="3" t="n">
        <v>40909</v>
      </c>
      <c r="B146" s="4" t="inlineStr">
        <is>
          <t>2012m1</t>
        </is>
      </c>
      <c r="C146" s="5">
        <f>100*LN(LEVEL!C146)</f>
        <v/>
      </c>
      <c r="D146" s="5">
        <f>100*LN(LEVEL!D146)</f>
        <v/>
      </c>
      <c r="E146" s="5">
        <f>100*LN(LEVEL!E146)</f>
        <v/>
      </c>
      <c r="F146" s="5">
        <f>LEVEL!F146</f>
        <v/>
      </c>
      <c r="G146" s="5">
        <f>LEVEL!G146</f>
        <v/>
      </c>
      <c r="H146" s="5">
        <f>100*LN(LEVEL!H146)</f>
        <v/>
      </c>
      <c r="I146" s="5">
        <f>100*LN(LEVEL!I146)</f>
        <v/>
      </c>
      <c r="J146" s="5">
        <f>100*LN(LEVEL!J146)</f>
        <v/>
      </c>
      <c r="K146" s="5">
        <f>100*LN(LEVEL!K146)</f>
        <v/>
      </c>
      <c r="L146" s="5">
        <f>LEVEL!L146</f>
        <v/>
      </c>
      <c r="M146" s="5">
        <f>LEVEL!M146</f>
        <v/>
      </c>
      <c r="N146" s="5">
        <f>100*LN(LEVEL!N146)</f>
        <v/>
      </c>
      <c r="O146" s="5">
        <f>100*LN(LEVEL!O146)</f>
        <v/>
      </c>
      <c r="P146" s="6">
        <f>IF(AND(YEAR($A146)=2020,MONTH($A146)=3),1,0)</f>
        <v/>
      </c>
      <c r="Q146" s="6">
        <f>IF(AND(YEAR($A146)=2020,MONTH($A146)=4),1,0)</f>
        <v/>
      </c>
      <c r="R146" s="6">
        <f>IF(AND(YEAR($A146)=2020,MONTH($A146)=5),1,0)</f>
        <v/>
      </c>
      <c r="S146" s="6">
        <f>IF(AND(YEAR($A146)=2020,MONTH($A146)=6),1,0)</f>
        <v/>
      </c>
    </row>
    <row r="147">
      <c r="A147" s="3" t="n">
        <v>40940</v>
      </c>
      <c r="B147" s="4" t="inlineStr">
        <is>
          <t>2012m2</t>
        </is>
      </c>
      <c r="C147" s="5">
        <f>100*LN(LEVEL!C147)</f>
        <v/>
      </c>
      <c r="D147" s="5">
        <f>100*LN(LEVEL!D147)</f>
        <v/>
      </c>
      <c r="E147" s="5">
        <f>100*LN(LEVEL!E147)</f>
        <v/>
      </c>
      <c r="F147" s="5">
        <f>LEVEL!F147</f>
        <v/>
      </c>
      <c r="G147" s="5">
        <f>LEVEL!G147</f>
        <v/>
      </c>
      <c r="H147" s="5">
        <f>100*LN(LEVEL!H147)</f>
        <v/>
      </c>
      <c r="I147" s="5">
        <f>100*LN(LEVEL!I147)</f>
        <v/>
      </c>
      <c r="J147" s="5">
        <f>100*LN(LEVEL!J147)</f>
        <v/>
      </c>
      <c r="K147" s="5">
        <f>100*LN(LEVEL!K147)</f>
        <v/>
      </c>
      <c r="L147" s="5">
        <f>LEVEL!L147</f>
        <v/>
      </c>
      <c r="M147" s="5">
        <f>LEVEL!M147</f>
        <v/>
      </c>
      <c r="N147" s="5">
        <f>100*LN(LEVEL!N147)</f>
        <v/>
      </c>
      <c r="O147" s="5">
        <f>100*LN(LEVEL!O147)</f>
        <v/>
      </c>
      <c r="P147" s="6">
        <f>IF(AND(YEAR($A147)=2020,MONTH($A147)=3),1,0)</f>
        <v/>
      </c>
      <c r="Q147" s="6">
        <f>IF(AND(YEAR($A147)=2020,MONTH($A147)=4),1,0)</f>
        <v/>
      </c>
      <c r="R147" s="6">
        <f>IF(AND(YEAR($A147)=2020,MONTH($A147)=5),1,0)</f>
        <v/>
      </c>
      <c r="S147" s="6">
        <f>IF(AND(YEAR($A147)=2020,MONTH($A147)=6),1,0)</f>
        <v/>
      </c>
    </row>
    <row r="148">
      <c r="A148" s="3" t="n">
        <v>40969</v>
      </c>
      <c r="B148" s="4" t="inlineStr">
        <is>
          <t>2012m3</t>
        </is>
      </c>
      <c r="C148" s="5">
        <f>100*LN(LEVEL!C148)</f>
        <v/>
      </c>
      <c r="D148" s="5">
        <f>100*LN(LEVEL!D148)</f>
        <v/>
      </c>
      <c r="E148" s="5">
        <f>100*LN(LEVEL!E148)</f>
        <v/>
      </c>
      <c r="F148" s="5">
        <f>LEVEL!F148</f>
        <v/>
      </c>
      <c r="G148" s="5">
        <f>LEVEL!G148</f>
        <v/>
      </c>
      <c r="H148" s="5">
        <f>100*LN(LEVEL!H148)</f>
        <v/>
      </c>
      <c r="I148" s="5">
        <f>100*LN(LEVEL!I148)</f>
        <v/>
      </c>
      <c r="J148" s="5">
        <f>100*LN(LEVEL!J148)</f>
        <v/>
      </c>
      <c r="K148" s="5">
        <f>100*LN(LEVEL!K148)</f>
        <v/>
      </c>
      <c r="L148" s="5">
        <f>LEVEL!L148</f>
        <v/>
      </c>
      <c r="M148" s="5">
        <f>LEVEL!M148</f>
        <v/>
      </c>
      <c r="N148" s="5">
        <f>100*LN(LEVEL!N148)</f>
        <v/>
      </c>
      <c r="O148" s="5">
        <f>100*LN(LEVEL!O148)</f>
        <v/>
      </c>
      <c r="P148" s="6">
        <f>IF(AND(YEAR($A148)=2020,MONTH($A148)=3),1,0)</f>
        <v/>
      </c>
      <c r="Q148" s="6">
        <f>IF(AND(YEAR($A148)=2020,MONTH($A148)=4),1,0)</f>
        <v/>
      </c>
      <c r="R148" s="6">
        <f>IF(AND(YEAR($A148)=2020,MONTH($A148)=5),1,0)</f>
        <v/>
      </c>
      <c r="S148" s="6">
        <f>IF(AND(YEAR($A148)=2020,MONTH($A148)=6),1,0)</f>
        <v/>
      </c>
    </row>
    <row r="149">
      <c r="A149" s="3" t="n">
        <v>41000</v>
      </c>
      <c r="B149" s="4" t="inlineStr">
        <is>
          <t>2012m4</t>
        </is>
      </c>
      <c r="C149" s="5">
        <f>100*LN(LEVEL!C149)</f>
        <v/>
      </c>
      <c r="D149" s="5">
        <f>100*LN(LEVEL!D149)</f>
        <v/>
      </c>
      <c r="E149" s="5">
        <f>100*LN(LEVEL!E149)</f>
        <v/>
      </c>
      <c r="F149" s="5">
        <f>LEVEL!F149</f>
        <v/>
      </c>
      <c r="G149" s="5">
        <f>LEVEL!G149</f>
        <v/>
      </c>
      <c r="H149" s="5">
        <f>100*LN(LEVEL!H149)</f>
        <v/>
      </c>
      <c r="I149" s="5">
        <f>100*LN(LEVEL!I149)</f>
        <v/>
      </c>
      <c r="J149" s="5">
        <f>100*LN(LEVEL!J149)</f>
        <v/>
      </c>
      <c r="K149" s="5">
        <f>100*LN(LEVEL!K149)</f>
        <v/>
      </c>
      <c r="L149" s="5">
        <f>LEVEL!L149</f>
        <v/>
      </c>
      <c r="M149" s="5">
        <f>LEVEL!M149</f>
        <v/>
      </c>
      <c r="N149" s="5">
        <f>100*LN(LEVEL!N149)</f>
        <v/>
      </c>
      <c r="O149" s="5">
        <f>100*LN(LEVEL!O149)</f>
        <v/>
      </c>
      <c r="P149" s="6">
        <f>IF(AND(YEAR($A149)=2020,MONTH($A149)=3),1,0)</f>
        <v/>
      </c>
      <c r="Q149" s="6">
        <f>IF(AND(YEAR($A149)=2020,MONTH($A149)=4),1,0)</f>
        <v/>
      </c>
      <c r="R149" s="6">
        <f>IF(AND(YEAR($A149)=2020,MONTH($A149)=5),1,0)</f>
        <v/>
      </c>
      <c r="S149" s="6">
        <f>IF(AND(YEAR($A149)=2020,MONTH($A149)=6),1,0)</f>
        <v/>
      </c>
    </row>
    <row r="150">
      <c r="A150" s="3" t="n">
        <v>41030</v>
      </c>
      <c r="B150" s="4" t="inlineStr">
        <is>
          <t>2012m5</t>
        </is>
      </c>
      <c r="C150" s="5">
        <f>100*LN(LEVEL!C150)</f>
        <v/>
      </c>
      <c r="D150" s="5">
        <f>100*LN(LEVEL!D150)</f>
        <v/>
      </c>
      <c r="E150" s="5">
        <f>100*LN(LEVEL!E150)</f>
        <v/>
      </c>
      <c r="F150" s="5">
        <f>LEVEL!F150</f>
        <v/>
      </c>
      <c r="G150" s="5">
        <f>LEVEL!G150</f>
        <v/>
      </c>
      <c r="H150" s="5">
        <f>100*LN(LEVEL!H150)</f>
        <v/>
      </c>
      <c r="I150" s="5">
        <f>100*LN(LEVEL!I150)</f>
        <v/>
      </c>
      <c r="J150" s="5">
        <f>100*LN(LEVEL!J150)</f>
        <v/>
      </c>
      <c r="K150" s="5">
        <f>100*LN(LEVEL!K150)</f>
        <v/>
      </c>
      <c r="L150" s="5">
        <f>LEVEL!L150</f>
        <v/>
      </c>
      <c r="M150" s="5">
        <f>LEVEL!M150</f>
        <v/>
      </c>
      <c r="N150" s="5">
        <f>100*LN(LEVEL!N150)</f>
        <v/>
      </c>
      <c r="O150" s="5">
        <f>100*LN(LEVEL!O150)</f>
        <v/>
      </c>
      <c r="P150" s="6">
        <f>IF(AND(YEAR($A150)=2020,MONTH($A150)=3),1,0)</f>
        <v/>
      </c>
      <c r="Q150" s="6">
        <f>IF(AND(YEAR($A150)=2020,MONTH($A150)=4),1,0)</f>
        <v/>
      </c>
      <c r="R150" s="6">
        <f>IF(AND(YEAR($A150)=2020,MONTH($A150)=5),1,0)</f>
        <v/>
      </c>
      <c r="S150" s="6">
        <f>IF(AND(YEAR($A150)=2020,MONTH($A150)=6),1,0)</f>
        <v/>
      </c>
    </row>
    <row r="151">
      <c r="A151" s="3" t="n">
        <v>41061</v>
      </c>
      <c r="B151" s="4" t="inlineStr">
        <is>
          <t>2012m6</t>
        </is>
      </c>
      <c r="C151" s="5">
        <f>100*LN(LEVEL!C151)</f>
        <v/>
      </c>
      <c r="D151" s="5">
        <f>100*LN(LEVEL!D151)</f>
        <v/>
      </c>
      <c r="E151" s="5">
        <f>100*LN(LEVEL!E151)</f>
        <v/>
      </c>
      <c r="F151" s="5">
        <f>LEVEL!F151</f>
        <v/>
      </c>
      <c r="G151" s="5">
        <f>LEVEL!G151</f>
        <v/>
      </c>
      <c r="H151" s="5">
        <f>100*LN(LEVEL!H151)</f>
        <v/>
      </c>
      <c r="I151" s="5">
        <f>100*LN(LEVEL!I151)</f>
        <v/>
      </c>
      <c r="J151" s="5">
        <f>100*LN(LEVEL!J151)</f>
        <v/>
      </c>
      <c r="K151" s="5">
        <f>100*LN(LEVEL!K151)</f>
        <v/>
      </c>
      <c r="L151" s="5">
        <f>LEVEL!L151</f>
        <v/>
      </c>
      <c r="M151" s="5">
        <f>LEVEL!M151</f>
        <v/>
      </c>
      <c r="N151" s="5">
        <f>100*LN(LEVEL!N151)</f>
        <v/>
      </c>
      <c r="O151" s="5">
        <f>100*LN(LEVEL!O151)</f>
        <v/>
      </c>
      <c r="P151" s="6">
        <f>IF(AND(YEAR($A151)=2020,MONTH($A151)=3),1,0)</f>
        <v/>
      </c>
      <c r="Q151" s="6">
        <f>IF(AND(YEAR($A151)=2020,MONTH($A151)=4),1,0)</f>
        <v/>
      </c>
      <c r="R151" s="6">
        <f>IF(AND(YEAR($A151)=2020,MONTH($A151)=5),1,0)</f>
        <v/>
      </c>
      <c r="S151" s="6">
        <f>IF(AND(YEAR($A151)=2020,MONTH($A151)=6),1,0)</f>
        <v/>
      </c>
    </row>
    <row r="152">
      <c r="A152" s="3" t="n">
        <v>41091</v>
      </c>
      <c r="B152" s="4" t="inlineStr">
        <is>
          <t>2012m7</t>
        </is>
      </c>
      <c r="C152" s="5">
        <f>100*LN(LEVEL!C152)</f>
        <v/>
      </c>
      <c r="D152" s="5">
        <f>100*LN(LEVEL!D152)</f>
        <v/>
      </c>
      <c r="E152" s="5">
        <f>100*LN(LEVEL!E152)</f>
        <v/>
      </c>
      <c r="F152" s="5">
        <f>LEVEL!F152</f>
        <v/>
      </c>
      <c r="G152" s="5">
        <f>LEVEL!G152</f>
        <v/>
      </c>
      <c r="H152" s="5">
        <f>100*LN(LEVEL!H152)</f>
        <v/>
      </c>
      <c r="I152" s="5">
        <f>100*LN(LEVEL!I152)</f>
        <v/>
      </c>
      <c r="J152" s="5">
        <f>100*LN(LEVEL!J152)</f>
        <v/>
      </c>
      <c r="K152" s="5">
        <f>100*LN(LEVEL!K152)</f>
        <v/>
      </c>
      <c r="L152" s="5">
        <f>LEVEL!L152</f>
        <v/>
      </c>
      <c r="M152" s="5">
        <f>LEVEL!M152</f>
        <v/>
      </c>
      <c r="N152" s="5">
        <f>100*LN(LEVEL!N152)</f>
        <v/>
      </c>
      <c r="O152" s="5">
        <f>100*LN(LEVEL!O152)</f>
        <v/>
      </c>
      <c r="P152" s="6">
        <f>IF(AND(YEAR($A152)=2020,MONTH($A152)=3),1,0)</f>
        <v/>
      </c>
      <c r="Q152" s="6">
        <f>IF(AND(YEAR($A152)=2020,MONTH($A152)=4),1,0)</f>
        <v/>
      </c>
      <c r="R152" s="6">
        <f>IF(AND(YEAR($A152)=2020,MONTH($A152)=5),1,0)</f>
        <v/>
      </c>
      <c r="S152" s="6">
        <f>IF(AND(YEAR($A152)=2020,MONTH($A152)=6),1,0)</f>
        <v/>
      </c>
    </row>
    <row r="153">
      <c r="A153" s="3" t="n">
        <v>41122</v>
      </c>
      <c r="B153" s="4" t="inlineStr">
        <is>
          <t>2012m8</t>
        </is>
      </c>
      <c r="C153" s="5">
        <f>100*LN(LEVEL!C153)</f>
        <v/>
      </c>
      <c r="D153" s="5">
        <f>100*LN(LEVEL!D153)</f>
        <v/>
      </c>
      <c r="E153" s="5">
        <f>100*LN(LEVEL!E153)</f>
        <v/>
      </c>
      <c r="F153" s="5">
        <f>LEVEL!F153</f>
        <v/>
      </c>
      <c r="G153" s="5">
        <f>LEVEL!G153</f>
        <v/>
      </c>
      <c r="H153" s="5">
        <f>100*LN(LEVEL!H153)</f>
        <v/>
      </c>
      <c r="I153" s="5">
        <f>100*LN(LEVEL!I153)</f>
        <v/>
      </c>
      <c r="J153" s="5">
        <f>100*LN(LEVEL!J153)</f>
        <v/>
      </c>
      <c r="K153" s="5">
        <f>100*LN(LEVEL!K153)</f>
        <v/>
      </c>
      <c r="L153" s="5">
        <f>LEVEL!L153</f>
        <v/>
      </c>
      <c r="M153" s="5">
        <f>LEVEL!M153</f>
        <v/>
      </c>
      <c r="N153" s="5">
        <f>100*LN(LEVEL!N153)</f>
        <v/>
      </c>
      <c r="O153" s="5">
        <f>100*LN(LEVEL!O153)</f>
        <v/>
      </c>
      <c r="P153" s="6">
        <f>IF(AND(YEAR($A153)=2020,MONTH($A153)=3),1,0)</f>
        <v/>
      </c>
      <c r="Q153" s="6">
        <f>IF(AND(YEAR($A153)=2020,MONTH($A153)=4),1,0)</f>
        <v/>
      </c>
      <c r="R153" s="6">
        <f>IF(AND(YEAR($A153)=2020,MONTH($A153)=5),1,0)</f>
        <v/>
      </c>
      <c r="S153" s="6">
        <f>IF(AND(YEAR($A153)=2020,MONTH($A153)=6),1,0)</f>
        <v/>
      </c>
    </row>
    <row r="154">
      <c r="A154" s="3" t="n">
        <v>41153</v>
      </c>
      <c r="B154" s="4" t="inlineStr">
        <is>
          <t>2012m9</t>
        </is>
      </c>
      <c r="C154" s="5">
        <f>100*LN(LEVEL!C154)</f>
        <v/>
      </c>
      <c r="D154" s="5">
        <f>100*LN(LEVEL!D154)</f>
        <v/>
      </c>
      <c r="E154" s="5">
        <f>100*LN(LEVEL!E154)</f>
        <v/>
      </c>
      <c r="F154" s="5">
        <f>LEVEL!F154</f>
        <v/>
      </c>
      <c r="G154" s="5">
        <f>LEVEL!G154</f>
        <v/>
      </c>
      <c r="H154" s="5">
        <f>100*LN(LEVEL!H154)</f>
        <v/>
      </c>
      <c r="I154" s="5">
        <f>100*LN(LEVEL!I154)</f>
        <v/>
      </c>
      <c r="J154" s="5">
        <f>100*LN(LEVEL!J154)</f>
        <v/>
      </c>
      <c r="K154" s="5">
        <f>100*LN(LEVEL!K154)</f>
        <v/>
      </c>
      <c r="L154" s="5">
        <f>LEVEL!L154</f>
        <v/>
      </c>
      <c r="M154" s="5">
        <f>LEVEL!M154</f>
        <v/>
      </c>
      <c r="N154" s="5">
        <f>100*LN(LEVEL!N154)</f>
        <v/>
      </c>
      <c r="O154" s="5">
        <f>100*LN(LEVEL!O154)</f>
        <v/>
      </c>
      <c r="P154" s="6">
        <f>IF(AND(YEAR($A154)=2020,MONTH($A154)=3),1,0)</f>
        <v/>
      </c>
      <c r="Q154" s="6">
        <f>IF(AND(YEAR($A154)=2020,MONTH($A154)=4),1,0)</f>
        <v/>
      </c>
      <c r="R154" s="6">
        <f>IF(AND(YEAR($A154)=2020,MONTH($A154)=5),1,0)</f>
        <v/>
      </c>
      <c r="S154" s="6">
        <f>IF(AND(YEAR($A154)=2020,MONTH($A154)=6),1,0)</f>
        <v/>
      </c>
    </row>
    <row r="155">
      <c r="A155" s="3" t="n">
        <v>41183</v>
      </c>
      <c r="B155" s="4" t="inlineStr">
        <is>
          <t>2012m10</t>
        </is>
      </c>
      <c r="C155" s="5">
        <f>100*LN(LEVEL!C155)</f>
        <v/>
      </c>
      <c r="D155" s="5">
        <f>100*LN(LEVEL!D155)</f>
        <v/>
      </c>
      <c r="E155" s="5">
        <f>100*LN(LEVEL!E155)</f>
        <v/>
      </c>
      <c r="F155" s="5">
        <f>LEVEL!F155</f>
        <v/>
      </c>
      <c r="G155" s="5">
        <f>LEVEL!G155</f>
        <v/>
      </c>
      <c r="H155" s="5">
        <f>100*LN(LEVEL!H155)</f>
        <v/>
      </c>
      <c r="I155" s="5">
        <f>100*LN(LEVEL!I155)</f>
        <v/>
      </c>
      <c r="J155" s="5">
        <f>100*LN(LEVEL!J155)</f>
        <v/>
      </c>
      <c r="K155" s="5">
        <f>100*LN(LEVEL!K155)</f>
        <v/>
      </c>
      <c r="L155" s="5">
        <f>LEVEL!L155</f>
        <v/>
      </c>
      <c r="M155" s="5">
        <f>LEVEL!M155</f>
        <v/>
      </c>
      <c r="N155" s="5">
        <f>100*LN(LEVEL!N155)</f>
        <v/>
      </c>
      <c r="O155" s="5">
        <f>100*LN(LEVEL!O155)</f>
        <v/>
      </c>
      <c r="P155" s="6">
        <f>IF(AND(YEAR($A155)=2020,MONTH($A155)=3),1,0)</f>
        <v/>
      </c>
      <c r="Q155" s="6">
        <f>IF(AND(YEAR($A155)=2020,MONTH($A155)=4),1,0)</f>
        <v/>
      </c>
      <c r="R155" s="6">
        <f>IF(AND(YEAR($A155)=2020,MONTH($A155)=5),1,0)</f>
        <v/>
      </c>
      <c r="S155" s="6">
        <f>IF(AND(YEAR($A155)=2020,MONTH($A155)=6),1,0)</f>
        <v/>
      </c>
    </row>
    <row r="156">
      <c r="A156" s="3" t="n">
        <v>41214</v>
      </c>
      <c r="B156" s="4" t="inlineStr">
        <is>
          <t>2012m11</t>
        </is>
      </c>
      <c r="C156" s="5">
        <f>100*LN(LEVEL!C156)</f>
        <v/>
      </c>
      <c r="D156" s="5">
        <f>100*LN(LEVEL!D156)</f>
        <v/>
      </c>
      <c r="E156" s="5">
        <f>100*LN(LEVEL!E156)</f>
        <v/>
      </c>
      <c r="F156" s="5">
        <f>LEVEL!F156</f>
        <v/>
      </c>
      <c r="G156" s="5">
        <f>LEVEL!G156</f>
        <v/>
      </c>
      <c r="H156" s="5">
        <f>100*LN(LEVEL!H156)</f>
        <v/>
      </c>
      <c r="I156" s="5">
        <f>100*LN(LEVEL!I156)</f>
        <v/>
      </c>
      <c r="J156" s="5">
        <f>100*LN(LEVEL!J156)</f>
        <v/>
      </c>
      <c r="K156" s="5">
        <f>100*LN(LEVEL!K156)</f>
        <v/>
      </c>
      <c r="L156" s="5">
        <f>LEVEL!L156</f>
        <v/>
      </c>
      <c r="M156" s="5">
        <f>LEVEL!M156</f>
        <v/>
      </c>
      <c r="N156" s="5">
        <f>100*LN(LEVEL!N156)</f>
        <v/>
      </c>
      <c r="O156" s="5">
        <f>100*LN(LEVEL!O156)</f>
        <v/>
      </c>
      <c r="P156" s="6">
        <f>IF(AND(YEAR($A156)=2020,MONTH($A156)=3),1,0)</f>
        <v/>
      </c>
      <c r="Q156" s="6">
        <f>IF(AND(YEAR($A156)=2020,MONTH($A156)=4),1,0)</f>
        <v/>
      </c>
      <c r="R156" s="6">
        <f>IF(AND(YEAR($A156)=2020,MONTH($A156)=5),1,0)</f>
        <v/>
      </c>
      <c r="S156" s="6">
        <f>IF(AND(YEAR($A156)=2020,MONTH($A156)=6),1,0)</f>
        <v/>
      </c>
    </row>
    <row r="157">
      <c r="A157" s="3" t="n">
        <v>41244</v>
      </c>
      <c r="B157" s="4" t="inlineStr">
        <is>
          <t>2012m12</t>
        </is>
      </c>
      <c r="C157" s="5">
        <f>100*LN(LEVEL!C157)</f>
        <v/>
      </c>
      <c r="D157" s="5">
        <f>100*LN(LEVEL!D157)</f>
        <v/>
      </c>
      <c r="E157" s="5">
        <f>100*LN(LEVEL!E157)</f>
        <v/>
      </c>
      <c r="F157" s="5">
        <f>LEVEL!F157</f>
        <v/>
      </c>
      <c r="G157" s="5">
        <f>LEVEL!G157</f>
        <v/>
      </c>
      <c r="H157" s="5">
        <f>100*LN(LEVEL!H157)</f>
        <v/>
      </c>
      <c r="I157" s="5">
        <f>100*LN(LEVEL!I157)</f>
        <v/>
      </c>
      <c r="J157" s="5">
        <f>100*LN(LEVEL!J157)</f>
        <v/>
      </c>
      <c r="K157" s="5">
        <f>100*LN(LEVEL!K157)</f>
        <v/>
      </c>
      <c r="L157" s="5">
        <f>LEVEL!L157</f>
        <v/>
      </c>
      <c r="M157" s="5">
        <f>LEVEL!M157</f>
        <v/>
      </c>
      <c r="N157" s="5">
        <f>100*LN(LEVEL!N157)</f>
        <v/>
      </c>
      <c r="O157" s="5">
        <f>100*LN(LEVEL!O157)</f>
        <v/>
      </c>
      <c r="P157" s="6">
        <f>IF(AND(YEAR($A157)=2020,MONTH($A157)=3),1,0)</f>
        <v/>
      </c>
      <c r="Q157" s="6">
        <f>IF(AND(YEAR($A157)=2020,MONTH($A157)=4),1,0)</f>
        <v/>
      </c>
      <c r="R157" s="6">
        <f>IF(AND(YEAR($A157)=2020,MONTH($A157)=5),1,0)</f>
        <v/>
      </c>
      <c r="S157" s="6">
        <f>IF(AND(YEAR($A157)=2020,MONTH($A157)=6),1,0)</f>
        <v/>
      </c>
    </row>
    <row r="158">
      <c r="A158" s="3" t="n">
        <v>41275</v>
      </c>
      <c r="B158" s="4" t="inlineStr">
        <is>
          <t>2013m1</t>
        </is>
      </c>
      <c r="C158" s="5">
        <f>100*LN(LEVEL!C158)</f>
        <v/>
      </c>
      <c r="D158" s="5">
        <f>100*LN(LEVEL!D158)</f>
        <v/>
      </c>
      <c r="E158" s="5">
        <f>100*LN(LEVEL!E158)</f>
        <v/>
      </c>
      <c r="F158" s="5">
        <f>LEVEL!F158</f>
        <v/>
      </c>
      <c r="G158" s="5">
        <f>LEVEL!G158</f>
        <v/>
      </c>
      <c r="H158" s="5">
        <f>100*LN(LEVEL!H158)</f>
        <v/>
      </c>
      <c r="I158" s="5">
        <f>100*LN(LEVEL!I158)</f>
        <v/>
      </c>
      <c r="J158" s="5">
        <f>100*LN(LEVEL!J158)</f>
        <v/>
      </c>
      <c r="K158" s="5">
        <f>100*LN(LEVEL!K158)</f>
        <v/>
      </c>
      <c r="L158" s="5">
        <f>LEVEL!L158</f>
        <v/>
      </c>
      <c r="M158" s="5">
        <f>LEVEL!M158</f>
        <v/>
      </c>
      <c r="N158" s="5">
        <f>100*LN(LEVEL!N158)</f>
        <v/>
      </c>
      <c r="O158" s="5">
        <f>100*LN(LEVEL!O158)</f>
        <v/>
      </c>
      <c r="P158" s="6">
        <f>IF(AND(YEAR($A158)=2020,MONTH($A158)=3),1,0)</f>
        <v/>
      </c>
      <c r="Q158" s="6">
        <f>IF(AND(YEAR($A158)=2020,MONTH($A158)=4),1,0)</f>
        <v/>
      </c>
      <c r="R158" s="6">
        <f>IF(AND(YEAR($A158)=2020,MONTH($A158)=5),1,0)</f>
        <v/>
      </c>
      <c r="S158" s="6">
        <f>IF(AND(YEAR($A158)=2020,MONTH($A158)=6),1,0)</f>
        <v/>
      </c>
    </row>
    <row r="159">
      <c r="A159" s="3" t="n">
        <v>41306</v>
      </c>
      <c r="B159" s="4" t="inlineStr">
        <is>
          <t>2013m2</t>
        </is>
      </c>
      <c r="C159" s="5">
        <f>100*LN(LEVEL!C159)</f>
        <v/>
      </c>
      <c r="D159" s="5">
        <f>100*LN(LEVEL!D159)</f>
        <v/>
      </c>
      <c r="E159" s="5">
        <f>100*LN(LEVEL!E159)</f>
        <v/>
      </c>
      <c r="F159" s="5">
        <f>LEVEL!F159</f>
        <v/>
      </c>
      <c r="G159" s="5">
        <f>LEVEL!G159</f>
        <v/>
      </c>
      <c r="H159" s="5">
        <f>100*LN(LEVEL!H159)</f>
        <v/>
      </c>
      <c r="I159" s="5">
        <f>100*LN(LEVEL!I159)</f>
        <v/>
      </c>
      <c r="J159" s="5">
        <f>100*LN(LEVEL!J159)</f>
        <v/>
      </c>
      <c r="K159" s="5">
        <f>100*LN(LEVEL!K159)</f>
        <v/>
      </c>
      <c r="L159" s="5">
        <f>LEVEL!L159</f>
        <v/>
      </c>
      <c r="M159" s="5">
        <f>LEVEL!M159</f>
        <v/>
      </c>
      <c r="N159" s="5">
        <f>100*LN(LEVEL!N159)</f>
        <v/>
      </c>
      <c r="O159" s="5">
        <f>100*LN(LEVEL!O159)</f>
        <v/>
      </c>
      <c r="P159" s="6">
        <f>IF(AND(YEAR($A159)=2020,MONTH($A159)=3),1,0)</f>
        <v/>
      </c>
      <c r="Q159" s="6">
        <f>IF(AND(YEAR($A159)=2020,MONTH($A159)=4),1,0)</f>
        <v/>
      </c>
      <c r="R159" s="6">
        <f>IF(AND(YEAR($A159)=2020,MONTH($A159)=5),1,0)</f>
        <v/>
      </c>
      <c r="S159" s="6">
        <f>IF(AND(YEAR($A159)=2020,MONTH($A159)=6),1,0)</f>
        <v/>
      </c>
    </row>
    <row r="160">
      <c r="A160" s="3" t="n">
        <v>41334</v>
      </c>
      <c r="B160" s="4" t="inlineStr">
        <is>
          <t>2013m3</t>
        </is>
      </c>
      <c r="C160" s="5">
        <f>100*LN(LEVEL!C160)</f>
        <v/>
      </c>
      <c r="D160" s="5">
        <f>100*LN(LEVEL!D160)</f>
        <v/>
      </c>
      <c r="E160" s="5">
        <f>100*LN(LEVEL!E160)</f>
        <v/>
      </c>
      <c r="F160" s="5">
        <f>LEVEL!F160</f>
        <v/>
      </c>
      <c r="G160" s="5">
        <f>LEVEL!G160</f>
        <v/>
      </c>
      <c r="H160" s="5">
        <f>100*LN(LEVEL!H160)</f>
        <v/>
      </c>
      <c r="I160" s="5">
        <f>100*LN(LEVEL!I160)</f>
        <v/>
      </c>
      <c r="J160" s="5">
        <f>100*LN(LEVEL!J160)</f>
        <v/>
      </c>
      <c r="K160" s="5">
        <f>100*LN(LEVEL!K160)</f>
        <v/>
      </c>
      <c r="L160" s="5">
        <f>LEVEL!L160</f>
        <v/>
      </c>
      <c r="M160" s="5">
        <f>LEVEL!M160</f>
        <v/>
      </c>
      <c r="N160" s="5">
        <f>100*LN(LEVEL!N160)</f>
        <v/>
      </c>
      <c r="O160" s="5">
        <f>100*LN(LEVEL!O160)</f>
        <v/>
      </c>
      <c r="P160" s="6">
        <f>IF(AND(YEAR($A160)=2020,MONTH($A160)=3),1,0)</f>
        <v/>
      </c>
      <c r="Q160" s="6">
        <f>IF(AND(YEAR($A160)=2020,MONTH($A160)=4),1,0)</f>
        <v/>
      </c>
      <c r="R160" s="6">
        <f>IF(AND(YEAR($A160)=2020,MONTH($A160)=5),1,0)</f>
        <v/>
      </c>
      <c r="S160" s="6">
        <f>IF(AND(YEAR($A160)=2020,MONTH($A160)=6),1,0)</f>
        <v/>
      </c>
    </row>
    <row r="161">
      <c r="A161" s="3" t="n">
        <v>41365</v>
      </c>
      <c r="B161" s="4" t="inlineStr">
        <is>
          <t>2013m4</t>
        </is>
      </c>
      <c r="C161" s="5">
        <f>100*LN(LEVEL!C161)</f>
        <v/>
      </c>
      <c r="D161" s="5">
        <f>100*LN(LEVEL!D161)</f>
        <v/>
      </c>
      <c r="E161" s="5">
        <f>100*LN(LEVEL!E161)</f>
        <v/>
      </c>
      <c r="F161" s="5">
        <f>LEVEL!F161</f>
        <v/>
      </c>
      <c r="G161" s="5">
        <f>LEVEL!G161</f>
        <v/>
      </c>
      <c r="H161" s="5">
        <f>100*LN(LEVEL!H161)</f>
        <v/>
      </c>
      <c r="I161" s="5">
        <f>100*LN(LEVEL!I161)</f>
        <v/>
      </c>
      <c r="J161" s="5">
        <f>100*LN(LEVEL!J161)</f>
        <v/>
      </c>
      <c r="K161" s="5">
        <f>100*LN(LEVEL!K161)</f>
        <v/>
      </c>
      <c r="L161" s="5">
        <f>LEVEL!L161</f>
        <v/>
      </c>
      <c r="M161" s="5">
        <f>LEVEL!M161</f>
        <v/>
      </c>
      <c r="N161" s="5">
        <f>100*LN(LEVEL!N161)</f>
        <v/>
      </c>
      <c r="O161" s="5">
        <f>100*LN(LEVEL!O161)</f>
        <v/>
      </c>
      <c r="P161" s="6">
        <f>IF(AND(YEAR($A161)=2020,MONTH($A161)=3),1,0)</f>
        <v/>
      </c>
      <c r="Q161" s="6">
        <f>IF(AND(YEAR($A161)=2020,MONTH($A161)=4),1,0)</f>
        <v/>
      </c>
      <c r="R161" s="6">
        <f>IF(AND(YEAR($A161)=2020,MONTH($A161)=5),1,0)</f>
        <v/>
      </c>
      <c r="S161" s="6">
        <f>IF(AND(YEAR($A161)=2020,MONTH($A161)=6),1,0)</f>
        <v/>
      </c>
    </row>
    <row r="162">
      <c r="A162" s="3" t="n">
        <v>41395</v>
      </c>
      <c r="B162" s="4" t="inlineStr">
        <is>
          <t>2013m5</t>
        </is>
      </c>
      <c r="C162" s="5">
        <f>100*LN(LEVEL!C162)</f>
        <v/>
      </c>
      <c r="D162" s="5">
        <f>100*LN(LEVEL!D162)</f>
        <v/>
      </c>
      <c r="E162" s="5">
        <f>100*LN(LEVEL!E162)</f>
        <v/>
      </c>
      <c r="F162" s="5">
        <f>LEVEL!F162</f>
        <v/>
      </c>
      <c r="G162" s="5">
        <f>LEVEL!G162</f>
        <v/>
      </c>
      <c r="H162" s="5">
        <f>100*LN(LEVEL!H162)</f>
        <v/>
      </c>
      <c r="I162" s="5">
        <f>100*LN(LEVEL!I162)</f>
        <v/>
      </c>
      <c r="J162" s="5">
        <f>100*LN(LEVEL!J162)</f>
        <v/>
      </c>
      <c r="K162" s="5">
        <f>100*LN(LEVEL!K162)</f>
        <v/>
      </c>
      <c r="L162" s="5">
        <f>LEVEL!L162</f>
        <v/>
      </c>
      <c r="M162" s="5">
        <f>LEVEL!M162</f>
        <v/>
      </c>
      <c r="N162" s="5">
        <f>100*LN(LEVEL!N162)</f>
        <v/>
      </c>
      <c r="O162" s="5">
        <f>100*LN(LEVEL!O162)</f>
        <v/>
      </c>
      <c r="P162" s="6">
        <f>IF(AND(YEAR($A162)=2020,MONTH($A162)=3),1,0)</f>
        <v/>
      </c>
      <c r="Q162" s="6">
        <f>IF(AND(YEAR($A162)=2020,MONTH($A162)=4),1,0)</f>
        <v/>
      </c>
      <c r="R162" s="6">
        <f>IF(AND(YEAR($A162)=2020,MONTH($A162)=5),1,0)</f>
        <v/>
      </c>
      <c r="S162" s="6">
        <f>IF(AND(YEAR($A162)=2020,MONTH($A162)=6),1,0)</f>
        <v/>
      </c>
    </row>
    <row r="163">
      <c r="A163" s="3" t="n">
        <v>41426</v>
      </c>
      <c r="B163" s="4" t="inlineStr">
        <is>
          <t>2013m6</t>
        </is>
      </c>
      <c r="C163" s="5">
        <f>100*LN(LEVEL!C163)</f>
        <v/>
      </c>
      <c r="D163" s="5">
        <f>100*LN(LEVEL!D163)</f>
        <v/>
      </c>
      <c r="E163" s="5">
        <f>100*LN(LEVEL!E163)</f>
        <v/>
      </c>
      <c r="F163" s="5">
        <f>LEVEL!F163</f>
        <v/>
      </c>
      <c r="G163" s="5">
        <f>LEVEL!G163</f>
        <v/>
      </c>
      <c r="H163" s="5">
        <f>100*LN(LEVEL!H163)</f>
        <v/>
      </c>
      <c r="I163" s="5">
        <f>100*LN(LEVEL!I163)</f>
        <v/>
      </c>
      <c r="J163" s="5">
        <f>100*LN(LEVEL!J163)</f>
        <v/>
      </c>
      <c r="K163" s="5">
        <f>100*LN(LEVEL!K163)</f>
        <v/>
      </c>
      <c r="L163" s="5">
        <f>LEVEL!L163</f>
        <v/>
      </c>
      <c r="M163" s="5">
        <f>LEVEL!M163</f>
        <v/>
      </c>
      <c r="N163" s="5">
        <f>100*LN(LEVEL!N163)</f>
        <v/>
      </c>
      <c r="O163" s="5">
        <f>100*LN(LEVEL!O163)</f>
        <v/>
      </c>
      <c r="P163" s="6">
        <f>IF(AND(YEAR($A163)=2020,MONTH($A163)=3),1,0)</f>
        <v/>
      </c>
      <c r="Q163" s="6">
        <f>IF(AND(YEAR($A163)=2020,MONTH($A163)=4),1,0)</f>
        <v/>
      </c>
      <c r="R163" s="6">
        <f>IF(AND(YEAR($A163)=2020,MONTH($A163)=5),1,0)</f>
        <v/>
      </c>
      <c r="S163" s="6">
        <f>IF(AND(YEAR($A163)=2020,MONTH($A163)=6),1,0)</f>
        <v/>
      </c>
    </row>
    <row r="164">
      <c r="A164" s="3" t="n">
        <v>41456</v>
      </c>
      <c r="B164" s="4" t="inlineStr">
        <is>
          <t>2013m7</t>
        </is>
      </c>
      <c r="C164" s="5">
        <f>100*LN(LEVEL!C164)</f>
        <v/>
      </c>
      <c r="D164" s="5">
        <f>100*LN(LEVEL!D164)</f>
        <v/>
      </c>
      <c r="E164" s="5">
        <f>100*LN(LEVEL!E164)</f>
        <v/>
      </c>
      <c r="F164" s="5">
        <f>LEVEL!F164</f>
        <v/>
      </c>
      <c r="G164" s="5">
        <f>LEVEL!G164</f>
        <v/>
      </c>
      <c r="H164" s="5">
        <f>100*LN(LEVEL!H164)</f>
        <v/>
      </c>
      <c r="I164" s="5">
        <f>100*LN(LEVEL!I164)</f>
        <v/>
      </c>
      <c r="J164" s="5">
        <f>100*LN(LEVEL!J164)</f>
        <v/>
      </c>
      <c r="K164" s="5">
        <f>100*LN(LEVEL!K164)</f>
        <v/>
      </c>
      <c r="L164" s="5">
        <f>LEVEL!L164</f>
        <v/>
      </c>
      <c r="M164" s="5">
        <f>LEVEL!M164</f>
        <v/>
      </c>
      <c r="N164" s="5">
        <f>100*LN(LEVEL!N164)</f>
        <v/>
      </c>
      <c r="O164" s="5">
        <f>100*LN(LEVEL!O164)</f>
        <v/>
      </c>
      <c r="P164" s="6">
        <f>IF(AND(YEAR($A164)=2020,MONTH($A164)=3),1,0)</f>
        <v/>
      </c>
      <c r="Q164" s="6">
        <f>IF(AND(YEAR($A164)=2020,MONTH($A164)=4),1,0)</f>
        <v/>
      </c>
      <c r="R164" s="6">
        <f>IF(AND(YEAR($A164)=2020,MONTH($A164)=5),1,0)</f>
        <v/>
      </c>
      <c r="S164" s="6">
        <f>IF(AND(YEAR($A164)=2020,MONTH($A164)=6),1,0)</f>
        <v/>
      </c>
    </row>
    <row r="165">
      <c r="A165" s="3" t="n">
        <v>41487</v>
      </c>
      <c r="B165" s="4" t="inlineStr">
        <is>
          <t>2013m8</t>
        </is>
      </c>
      <c r="C165" s="5">
        <f>100*LN(LEVEL!C165)</f>
        <v/>
      </c>
      <c r="D165" s="5">
        <f>100*LN(LEVEL!D165)</f>
        <v/>
      </c>
      <c r="E165" s="5">
        <f>100*LN(LEVEL!E165)</f>
        <v/>
      </c>
      <c r="F165" s="5">
        <f>LEVEL!F165</f>
        <v/>
      </c>
      <c r="G165" s="5">
        <f>LEVEL!G165</f>
        <v/>
      </c>
      <c r="H165" s="5">
        <f>100*LN(LEVEL!H165)</f>
        <v/>
      </c>
      <c r="I165" s="5">
        <f>100*LN(LEVEL!I165)</f>
        <v/>
      </c>
      <c r="J165" s="5">
        <f>100*LN(LEVEL!J165)</f>
        <v/>
      </c>
      <c r="K165" s="5">
        <f>100*LN(LEVEL!K165)</f>
        <v/>
      </c>
      <c r="L165" s="5">
        <f>LEVEL!L165</f>
        <v/>
      </c>
      <c r="M165" s="5">
        <f>LEVEL!M165</f>
        <v/>
      </c>
      <c r="N165" s="5">
        <f>100*LN(LEVEL!N165)</f>
        <v/>
      </c>
      <c r="O165" s="5">
        <f>100*LN(LEVEL!O165)</f>
        <v/>
      </c>
      <c r="P165" s="6">
        <f>IF(AND(YEAR($A165)=2020,MONTH($A165)=3),1,0)</f>
        <v/>
      </c>
      <c r="Q165" s="6">
        <f>IF(AND(YEAR($A165)=2020,MONTH($A165)=4),1,0)</f>
        <v/>
      </c>
      <c r="R165" s="6">
        <f>IF(AND(YEAR($A165)=2020,MONTH($A165)=5),1,0)</f>
        <v/>
      </c>
      <c r="S165" s="6">
        <f>IF(AND(YEAR($A165)=2020,MONTH($A165)=6),1,0)</f>
        <v/>
      </c>
    </row>
    <row r="166">
      <c r="A166" s="3" t="n">
        <v>41518</v>
      </c>
      <c r="B166" s="4" t="inlineStr">
        <is>
          <t>2013m9</t>
        </is>
      </c>
      <c r="C166" s="5">
        <f>100*LN(LEVEL!C166)</f>
        <v/>
      </c>
      <c r="D166" s="5">
        <f>100*LN(LEVEL!D166)</f>
        <v/>
      </c>
      <c r="E166" s="5">
        <f>100*LN(LEVEL!E166)</f>
        <v/>
      </c>
      <c r="F166" s="5">
        <f>LEVEL!F166</f>
        <v/>
      </c>
      <c r="G166" s="5">
        <f>LEVEL!G166</f>
        <v/>
      </c>
      <c r="H166" s="5">
        <f>100*LN(LEVEL!H166)</f>
        <v/>
      </c>
      <c r="I166" s="5">
        <f>100*LN(LEVEL!I166)</f>
        <v/>
      </c>
      <c r="J166" s="5">
        <f>100*LN(LEVEL!J166)</f>
        <v/>
      </c>
      <c r="K166" s="5">
        <f>100*LN(LEVEL!K166)</f>
        <v/>
      </c>
      <c r="L166" s="5">
        <f>LEVEL!L166</f>
        <v/>
      </c>
      <c r="M166" s="5">
        <f>LEVEL!M166</f>
        <v/>
      </c>
      <c r="N166" s="5">
        <f>100*LN(LEVEL!N166)</f>
        <v/>
      </c>
      <c r="O166" s="5">
        <f>100*LN(LEVEL!O166)</f>
        <v/>
      </c>
      <c r="P166" s="6">
        <f>IF(AND(YEAR($A166)=2020,MONTH($A166)=3),1,0)</f>
        <v/>
      </c>
      <c r="Q166" s="6">
        <f>IF(AND(YEAR($A166)=2020,MONTH($A166)=4),1,0)</f>
        <v/>
      </c>
      <c r="R166" s="6">
        <f>IF(AND(YEAR($A166)=2020,MONTH($A166)=5),1,0)</f>
        <v/>
      </c>
      <c r="S166" s="6">
        <f>IF(AND(YEAR($A166)=2020,MONTH($A166)=6),1,0)</f>
        <v/>
      </c>
    </row>
    <row r="167">
      <c r="A167" s="3" t="n">
        <v>41548</v>
      </c>
      <c r="B167" s="4" t="inlineStr">
        <is>
          <t>2013m10</t>
        </is>
      </c>
      <c r="C167" s="5">
        <f>100*LN(LEVEL!C167)</f>
        <v/>
      </c>
      <c r="D167" s="5">
        <f>100*LN(LEVEL!D167)</f>
        <v/>
      </c>
      <c r="E167" s="5">
        <f>100*LN(LEVEL!E167)</f>
        <v/>
      </c>
      <c r="F167" s="5">
        <f>LEVEL!F167</f>
        <v/>
      </c>
      <c r="G167" s="5">
        <f>LEVEL!G167</f>
        <v/>
      </c>
      <c r="H167" s="5">
        <f>100*LN(LEVEL!H167)</f>
        <v/>
      </c>
      <c r="I167" s="5">
        <f>100*LN(LEVEL!I167)</f>
        <v/>
      </c>
      <c r="J167" s="5">
        <f>100*LN(LEVEL!J167)</f>
        <v/>
      </c>
      <c r="K167" s="5">
        <f>100*LN(LEVEL!K167)</f>
        <v/>
      </c>
      <c r="L167" s="5">
        <f>LEVEL!L167</f>
        <v/>
      </c>
      <c r="M167" s="5">
        <f>LEVEL!M167</f>
        <v/>
      </c>
      <c r="N167" s="5">
        <f>100*LN(LEVEL!N167)</f>
        <v/>
      </c>
      <c r="O167" s="5">
        <f>100*LN(LEVEL!O167)</f>
        <v/>
      </c>
      <c r="P167" s="6">
        <f>IF(AND(YEAR($A167)=2020,MONTH($A167)=3),1,0)</f>
        <v/>
      </c>
      <c r="Q167" s="6">
        <f>IF(AND(YEAR($A167)=2020,MONTH($A167)=4),1,0)</f>
        <v/>
      </c>
      <c r="R167" s="6">
        <f>IF(AND(YEAR($A167)=2020,MONTH($A167)=5),1,0)</f>
        <v/>
      </c>
      <c r="S167" s="6">
        <f>IF(AND(YEAR($A167)=2020,MONTH($A167)=6),1,0)</f>
        <v/>
      </c>
    </row>
    <row r="168">
      <c r="A168" s="3" t="n">
        <v>41579</v>
      </c>
      <c r="B168" s="4" t="inlineStr">
        <is>
          <t>2013m11</t>
        </is>
      </c>
      <c r="C168" s="5">
        <f>100*LN(LEVEL!C168)</f>
        <v/>
      </c>
      <c r="D168" s="5">
        <f>100*LN(LEVEL!D168)</f>
        <v/>
      </c>
      <c r="E168" s="5">
        <f>100*LN(LEVEL!E168)</f>
        <v/>
      </c>
      <c r="F168" s="5">
        <f>LEVEL!F168</f>
        <v/>
      </c>
      <c r="G168" s="5">
        <f>LEVEL!G168</f>
        <v/>
      </c>
      <c r="H168" s="5">
        <f>100*LN(LEVEL!H168)</f>
        <v/>
      </c>
      <c r="I168" s="5">
        <f>100*LN(LEVEL!I168)</f>
        <v/>
      </c>
      <c r="J168" s="5">
        <f>100*LN(LEVEL!J168)</f>
        <v/>
      </c>
      <c r="K168" s="5">
        <f>100*LN(LEVEL!K168)</f>
        <v/>
      </c>
      <c r="L168" s="5">
        <f>LEVEL!L168</f>
        <v/>
      </c>
      <c r="M168" s="5">
        <f>LEVEL!M168</f>
        <v/>
      </c>
      <c r="N168" s="5">
        <f>100*LN(LEVEL!N168)</f>
        <v/>
      </c>
      <c r="O168" s="5">
        <f>100*LN(LEVEL!O168)</f>
        <v/>
      </c>
      <c r="P168" s="6">
        <f>IF(AND(YEAR($A168)=2020,MONTH($A168)=3),1,0)</f>
        <v/>
      </c>
      <c r="Q168" s="6">
        <f>IF(AND(YEAR($A168)=2020,MONTH($A168)=4),1,0)</f>
        <v/>
      </c>
      <c r="R168" s="6">
        <f>IF(AND(YEAR($A168)=2020,MONTH($A168)=5),1,0)</f>
        <v/>
      </c>
      <c r="S168" s="6">
        <f>IF(AND(YEAR($A168)=2020,MONTH($A168)=6),1,0)</f>
        <v/>
      </c>
    </row>
    <row r="169">
      <c r="A169" s="3" t="n">
        <v>41609</v>
      </c>
      <c r="B169" s="4" t="inlineStr">
        <is>
          <t>2013m12</t>
        </is>
      </c>
      <c r="C169" s="5">
        <f>100*LN(LEVEL!C169)</f>
        <v/>
      </c>
      <c r="D169" s="5">
        <f>100*LN(LEVEL!D169)</f>
        <v/>
      </c>
      <c r="E169" s="5">
        <f>100*LN(LEVEL!E169)</f>
        <v/>
      </c>
      <c r="F169" s="5">
        <f>LEVEL!F169</f>
        <v/>
      </c>
      <c r="G169" s="5">
        <f>LEVEL!G169</f>
        <v/>
      </c>
      <c r="H169" s="5">
        <f>100*LN(LEVEL!H169)</f>
        <v/>
      </c>
      <c r="I169" s="5">
        <f>100*LN(LEVEL!I169)</f>
        <v/>
      </c>
      <c r="J169" s="5">
        <f>100*LN(LEVEL!J169)</f>
        <v/>
      </c>
      <c r="K169" s="5">
        <f>100*LN(LEVEL!K169)</f>
        <v/>
      </c>
      <c r="L169" s="5">
        <f>LEVEL!L169</f>
        <v/>
      </c>
      <c r="M169" s="5">
        <f>LEVEL!M169</f>
        <v/>
      </c>
      <c r="N169" s="5">
        <f>100*LN(LEVEL!N169)</f>
        <v/>
      </c>
      <c r="O169" s="5">
        <f>100*LN(LEVEL!O169)</f>
        <v/>
      </c>
      <c r="P169" s="6">
        <f>IF(AND(YEAR($A169)=2020,MONTH($A169)=3),1,0)</f>
        <v/>
      </c>
      <c r="Q169" s="6">
        <f>IF(AND(YEAR($A169)=2020,MONTH($A169)=4),1,0)</f>
        <v/>
      </c>
      <c r="R169" s="6">
        <f>IF(AND(YEAR($A169)=2020,MONTH($A169)=5),1,0)</f>
        <v/>
      </c>
      <c r="S169" s="6">
        <f>IF(AND(YEAR($A169)=2020,MONTH($A169)=6),1,0)</f>
        <v/>
      </c>
    </row>
    <row r="170">
      <c r="A170" s="3" t="n">
        <v>41640</v>
      </c>
      <c r="B170" s="4" t="inlineStr">
        <is>
          <t>2014m1</t>
        </is>
      </c>
      <c r="C170" s="5">
        <f>100*LN(LEVEL!C170)</f>
        <v/>
      </c>
      <c r="D170" s="5">
        <f>100*LN(LEVEL!D170)</f>
        <v/>
      </c>
      <c r="E170" s="5">
        <f>100*LN(LEVEL!E170)</f>
        <v/>
      </c>
      <c r="F170" s="5">
        <f>LEVEL!F170</f>
        <v/>
      </c>
      <c r="G170" s="5">
        <f>LEVEL!G170</f>
        <v/>
      </c>
      <c r="H170" s="5">
        <f>100*LN(LEVEL!H170)</f>
        <v/>
      </c>
      <c r="I170" s="5">
        <f>100*LN(LEVEL!I170)</f>
        <v/>
      </c>
      <c r="J170" s="5">
        <f>100*LN(LEVEL!J170)</f>
        <v/>
      </c>
      <c r="K170" s="5">
        <f>100*LN(LEVEL!K170)</f>
        <v/>
      </c>
      <c r="L170" s="5">
        <f>LEVEL!L170</f>
        <v/>
      </c>
      <c r="M170" s="5">
        <f>LEVEL!M170</f>
        <v/>
      </c>
      <c r="N170" s="5">
        <f>100*LN(LEVEL!N170)</f>
        <v/>
      </c>
      <c r="O170" s="5">
        <f>100*LN(LEVEL!O170)</f>
        <v/>
      </c>
      <c r="P170" s="6">
        <f>IF(AND(YEAR($A170)=2020,MONTH($A170)=3),1,0)</f>
        <v/>
      </c>
      <c r="Q170" s="6">
        <f>IF(AND(YEAR($A170)=2020,MONTH($A170)=4),1,0)</f>
        <v/>
      </c>
      <c r="R170" s="6">
        <f>IF(AND(YEAR($A170)=2020,MONTH($A170)=5),1,0)</f>
        <v/>
      </c>
      <c r="S170" s="6">
        <f>IF(AND(YEAR($A170)=2020,MONTH($A170)=6),1,0)</f>
        <v/>
      </c>
    </row>
    <row r="171">
      <c r="A171" s="3" t="n">
        <v>41671</v>
      </c>
      <c r="B171" s="4" t="inlineStr">
        <is>
          <t>2014m2</t>
        </is>
      </c>
      <c r="C171" s="5">
        <f>100*LN(LEVEL!C171)</f>
        <v/>
      </c>
      <c r="D171" s="5">
        <f>100*LN(LEVEL!D171)</f>
        <v/>
      </c>
      <c r="E171" s="5">
        <f>100*LN(LEVEL!E171)</f>
        <v/>
      </c>
      <c r="F171" s="5">
        <f>LEVEL!F171</f>
        <v/>
      </c>
      <c r="G171" s="5">
        <f>LEVEL!G171</f>
        <v/>
      </c>
      <c r="H171" s="5">
        <f>100*LN(LEVEL!H171)</f>
        <v/>
      </c>
      <c r="I171" s="5">
        <f>100*LN(LEVEL!I171)</f>
        <v/>
      </c>
      <c r="J171" s="5">
        <f>100*LN(LEVEL!J171)</f>
        <v/>
      </c>
      <c r="K171" s="5">
        <f>100*LN(LEVEL!K171)</f>
        <v/>
      </c>
      <c r="L171" s="5">
        <f>LEVEL!L171</f>
        <v/>
      </c>
      <c r="M171" s="5">
        <f>LEVEL!M171</f>
        <v/>
      </c>
      <c r="N171" s="5">
        <f>100*LN(LEVEL!N171)</f>
        <v/>
      </c>
      <c r="O171" s="5">
        <f>100*LN(LEVEL!O171)</f>
        <v/>
      </c>
      <c r="P171" s="6">
        <f>IF(AND(YEAR($A171)=2020,MONTH($A171)=3),1,0)</f>
        <v/>
      </c>
      <c r="Q171" s="6">
        <f>IF(AND(YEAR($A171)=2020,MONTH($A171)=4),1,0)</f>
        <v/>
      </c>
      <c r="R171" s="6">
        <f>IF(AND(YEAR($A171)=2020,MONTH($A171)=5),1,0)</f>
        <v/>
      </c>
      <c r="S171" s="6">
        <f>IF(AND(YEAR($A171)=2020,MONTH($A171)=6),1,0)</f>
        <v/>
      </c>
    </row>
    <row r="172">
      <c r="A172" s="3" t="n">
        <v>41699</v>
      </c>
      <c r="B172" s="4" t="inlineStr">
        <is>
          <t>2014m3</t>
        </is>
      </c>
      <c r="C172" s="5">
        <f>100*LN(LEVEL!C172)</f>
        <v/>
      </c>
      <c r="D172" s="5">
        <f>100*LN(LEVEL!D172)</f>
        <v/>
      </c>
      <c r="E172" s="5">
        <f>100*LN(LEVEL!E172)</f>
        <v/>
      </c>
      <c r="F172" s="5">
        <f>LEVEL!F172</f>
        <v/>
      </c>
      <c r="G172" s="5">
        <f>LEVEL!G172</f>
        <v/>
      </c>
      <c r="H172" s="5">
        <f>100*LN(LEVEL!H172)</f>
        <v/>
      </c>
      <c r="I172" s="5">
        <f>100*LN(LEVEL!I172)</f>
        <v/>
      </c>
      <c r="J172" s="5">
        <f>100*LN(LEVEL!J172)</f>
        <v/>
      </c>
      <c r="K172" s="5">
        <f>100*LN(LEVEL!K172)</f>
        <v/>
      </c>
      <c r="L172" s="5">
        <f>LEVEL!L172</f>
        <v/>
      </c>
      <c r="M172" s="5">
        <f>LEVEL!M172</f>
        <v/>
      </c>
      <c r="N172" s="5">
        <f>100*LN(LEVEL!N172)</f>
        <v/>
      </c>
      <c r="O172" s="5">
        <f>100*LN(LEVEL!O172)</f>
        <v/>
      </c>
      <c r="P172" s="6">
        <f>IF(AND(YEAR($A172)=2020,MONTH($A172)=3),1,0)</f>
        <v/>
      </c>
      <c r="Q172" s="6">
        <f>IF(AND(YEAR($A172)=2020,MONTH($A172)=4),1,0)</f>
        <v/>
      </c>
      <c r="R172" s="6">
        <f>IF(AND(YEAR($A172)=2020,MONTH($A172)=5),1,0)</f>
        <v/>
      </c>
      <c r="S172" s="6">
        <f>IF(AND(YEAR($A172)=2020,MONTH($A172)=6),1,0)</f>
        <v/>
      </c>
    </row>
    <row r="173">
      <c r="A173" s="3" t="n">
        <v>41730</v>
      </c>
      <c r="B173" s="4" t="inlineStr">
        <is>
          <t>2014m4</t>
        </is>
      </c>
      <c r="C173" s="5">
        <f>100*LN(LEVEL!C173)</f>
        <v/>
      </c>
      <c r="D173" s="5">
        <f>100*LN(LEVEL!D173)</f>
        <v/>
      </c>
      <c r="E173" s="5">
        <f>100*LN(LEVEL!E173)</f>
        <v/>
      </c>
      <c r="F173" s="5">
        <f>LEVEL!F173</f>
        <v/>
      </c>
      <c r="G173" s="5">
        <f>LEVEL!G173</f>
        <v/>
      </c>
      <c r="H173" s="5">
        <f>100*LN(LEVEL!H173)</f>
        <v/>
      </c>
      <c r="I173" s="5">
        <f>100*LN(LEVEL!I173)</f>
        <v/>
      </c>
      <c r="J173" s="5">
        <f>100*LN(LEVEL!J173)</f>
        <v/>
      </c>
      <c r="K173" s="5">
        <f>100*LN(LEVEL!K173)</f>
        <v/>
      </c>
      <c r="L173" s="5">
        <f>LEVEL!L173</f>
        <v/>
      </c>
      <c r="M173" s="5">
        <f>LEVEL!M173</f>
        <v/>
      </c>
      <c r="N173" s="5">
        <f>100*LN(LEVEL!N173)</f>
        <v/>
      </c>
      <c r="O173" s="5">
        <f>100*LN(LEVEL!O173)</f>
        <v/>
      </c>
      <c r="P173" s="6">
        <f>IF(AND(YEAR($A173)=2020,MONTH($A173)=3),1,0)</f>
        <v/>
      </c>
      <c r="Q173" s="6">
        <f>IF(AND(YEAR($A173)=2020,MONTH($A173)=4),1,0)</f>
        <v/>
      </c>
      <c r="R173" s="6">
        <f>IF(AND(YEAR($A173)=2020,MONTH($A173)=5),1,0)</f>
        <v/>
      </c>
      <c r="S173" s="6">
        <f>IF(AND(YEAR($A173)=2020,MONTH($A173)=6),1,0)</f>
        <v/>
      </c>
    </row>
    <row r="174">
      <c r="A174" s="3" t="n">
        <v>41760</v>
      </c>
      <c r="B174" s="4" t="inlineStr">
        <is>
          <t>2014m5</t>
        </is>
      </c>
      <c r="C174" s="5">
        <f>100*LN(LEVEL!C174)</f>
        <v/>
      </c>
      <c r="D174" s="5">
        <f>100*LN(LEVEL!D174)</f>
        <v/>
      </c>
      <c r="E174" s="5">
        <f>100*LN(LEVEL!E174)</f>
        <v/>
      </c>
      <c r="F174" s="5">
        <f>LEVEL!F174</f>
        <v/>
      </c>
      <c r="G174" s="5">
        <f>LEVEL!G174</f>
        <v/>
      </c>
      <c r="H174" s="5">
        <f>100*LN(LEVEL!H174)</f>
        <v/>
      </c>
      <c r="I174" s="5">
        <f>100*LN(LEVEL!I174)</f>
        <v/>
      </c>
      <c r="J174" s="5">
        <f>100*LN(LEVEL!J174)</f>
        <v/>
      </c>
      <c r="K174" s="5">
        <f>100*LN(LEVEL!K174)</f>
        <v/>
      </c>
      <c r="L174" s="5">
        <f>LEVEL!L174</f>
        <v/>
      </c>
      <c r="M174" s="5">
        <f>LEVEL!M174</f>
        <v/>
      </c>
      <c r="N174" s="5">
        <f>100*LN(LEVEL!N174)</f>
        <v/>
      </c>
      <c r="O174" s="5">
        <f>100*LN(LEVEL!O174)</f>
        <v/>
      </c>
      <c r="P174" s="6">
        <f>IF(AND(YEAR($A174)=2020,MONTH($A174)=3),1,0)</f>
        <v/>
      </c>
      <c r="Q174" s="6">
        <f>IF(AND(YEAR($A174)=2020,MONTH($A174)=4),1,0)</f>
        <v/>
      </c>
      <c r="R174" s="6">
        <f>IF(AND(YEAR($A174)=2020,MONTH($A174)=5),1,0)</f>
        <v/>
      </c>
      <c r="S174" s="6">
        <f>IF(AND(YEAR($A174)=2020,MONTH($A174)=6),1,0)</f>
        <v/>
      </c>
    </row>
    <row r="175">
      <c r="A175" s="3" t="n">
        <v>41791</v>
      </c>
      <c r="B175" s="4" t="inlineStr">
        <is>
          <t>2014m6</t>
        </is>
      </c>
      <c r="C175" s="5">
        <f>100*LN(LEVEL!C175)</f>
        <v/>
      </c>
      <c r="D175" s="5">
        <f>100*LN(LEVEL!D175)</f>
        <v/>
      </c>
      <c r="E175" s="5">
        <f>100*LN(LEVEL!E175)</f>
        <v/>
      </c>
      <c r="F175" s="5">
        <f>LEVEL!F175</f>
        <v/>
      </c>
      <c r="G175" s="5">
        <f>LEVEL!G175</f>
        <v/>
      </c>
      <c r="H175" s="5">
        <f>100*LN(LEVEL!H175)</f>
        <v/>
      </c>
      <c r="I175" s="5">
        <f>100*LN(LEVEL!I175)</f>
        <v/>
      </c>
      <c r="J175" s="5">
        <f>100*LN(LEVEL!J175)</f>
        <v/>
      </c>
      <c r="K175" s="5">
        <f>100*LN(LEVEL!K175)</f>
        <v/>
      </c>
      <c r="L175" s="5">
        <f>LEVEL!L175</f>
        <v/>
      </c>
      <c r="M175" s="5">
        <f>LEVEL!M175</f>
        <v/>
      </c>
      <c r="N175" s="5">
        <f>100*LN(LEVEL!N175)</f>
        <v/>
      </c>
      <c r="O175" s="5">
        <f>100*LN(LEVEL!O175)</f>
        <v/>
      </c>
      <c r="P175" s="6">
        <f>IF(AND(YEAR($A175)=2020,MONTH($A175)=3),1,0)</f>
        <v/>
      </c>
      <c r="Q175" s="6">
        <f>IF(AND(YEAR($A175)=2020,MONTH($A175)=4),1,0)</f>
        <v/>
      </c>
      <c r="R175" s="6">
        <f>IF(AND(YEAR($A175)=2020,MONTH($A175)=5),1,0)</f>
        <v/>
      </c>
      <c r="S175" s="6">
        <f>IF(AND(YEAR($A175)=2020,MONTH($A175)=6),1,0)</f>
        <v/>
      </c>
    </row>
    <row r="176">
      <c r="A176" s="3" t="n">
        <v>41821</v>
      </c>
      <c r="B176" s="4" t="inlineStr">
        <is>
          <t>2014m7</t>
        </is>
      </c>
      <c r="C176" s="5">
        <f>100*LN(LEVEL!C176)</f>
        <v/>
      </c>
      <c r="D176" s="5">
        <f>100*LN(LEVEL!D176)</f>
        <v/>
      </c>
      <c r="E176" s="5">
        <f>100*LN(LEVEL!E176)</f>
        <v/>
      </c>
      <c r="F176" s="5">
        <f>LEVEL!F176</f>
        <v/>
      </c>
      <c r="G176" s="5">
        <f>LEVEL!G176</f>
        <v/>
      </c>
      <c r="H176" s="5">
        <f>100*LN(LEVEL!H176)</f>
        <v/>
      </c>
      <c r="I176" s="5">
        <f>100*LN(LEVEL!I176)</f>
        <v/>
      </c>
      <c r="J176" s="5">
        <f>100*LN(LEVEL!J176)</f>
        <v/>
      </c>
      <c r="K176" s="5">
        <f>100*LN(LEVEL!K176)</f>
        <v/>
      </c>
      <c r="L176" s="5">
        <f>LEVEL!L176</f>
        <v/>
      </c>
      <c r="M176" s="5">
        <f>LEVEL!M176</f>
        <v/>
      </c>
      <c r="N176" s="5">
        <f>100*LN(LEVEL!N176)</f>
        <v/>
      </c>
      <c r="O176" s="5">
        <f>100*LN(LEVEL!O176)</f>
        <v/>
      </c>
      <c r="P176" s="6">
        <f>IF(AND(YEAR($A176)=2020,MONTH($A176)=3),1,0)</f>
        <v/>
      </c>
      <c r="Q176" s="6">
        <f>IF(AND(YEAR($A176)=2020,MONTH($A176)=4),1,0)</f>
        <v/>
      </c>
      <c r="R176" s="6">
        <f>IF(AND(YEAR($A176)=2020,MONTH($A176)=5),1,0)</f>
        <v/>
      </c>
      <c r="S176" s="6">
        <f>IF(AND(YEAR($A176)=2020,MONTH($A176)=6),1,0)</f>
        <v/>
      </c>
    </row>
    <row r="177">
      <c r="A177" s="3" t="n">
        <v>41852</v>
      </c>
      <c r="B177" s="4" t="inlineStr">
        <is>
          <t>2014m8</t>
        </is>
      </c>
      <c r="C177" s="5">
        <f>100*LN(LEVEL!C177)</f>
        <v/>
      </c>
      <c r="D177" s="5">
        <f>100*LN(LEVEL!D177)</f>
        <v/>
      </c>
      <c r="E177" s="5">
        <f>100*LN(LEVEL!E177)</f>
        <v/>
      </c>
      <c r="F177" s="5">
        <f>LEVEL!F177</f>
        <v/>
      </c>
      <c r="G177" s="5">
        <f>LEVEL!G177</f>
        <v/>
      </c>
      <c r="H177" s="5">
        <f>100*LN(LEVEL!H177)</f>
        <v/>
      </c>
      <c r="I177" s="5">
        <f>100*LN(LEVEL!I177)</f>
        <v/>
      </c>
      <c r="J177" s="5">
        <f>100*LN(LEVEL!J177)</f>
        <v/>
      </c>
      <c r="K177" s="5">
        <f>100*LN(LEVEL!K177)</f>
        <v/>
      </c>
      <c r="L177" s="5">
        <f>LEVEL!L177</f>
        <v/>
      </c>
      <c r="M177" s="5">
        <f>LEVEL!M177</f>
        <v/>
      </c>
      <c r="N177" s="5">
        <f>100*LN(LEVEL!N177)</f>
        <v/>
      </c>
      <c r="O177" s="5">
        <f>100*LN(LEVEL!O177)</f>
        <v/>
      </c>
      <c r="P177" s="6">
        <f>IF(AND(YEAR($A177)=2020,MONTH($A177)=3),1,0)</f>
        <v/>
      </c>
      <c r="Q177" s="6">
        <f>IF(AND(YEAR($A177)=2020,MONTH($A177)=4),1,0)</f>
        <v/>
      </c>
      <c r="R177" s="6">
        <f>IF(AND(YEAR($A177)=2020,MONTH($A177)=5),1,0)</f>
        <v/>
      </c>
      <c r="S177" s="6">
        <f>IF(AND(YEAR($A177)=2020,MONTH($A177)=6),1,0)</f>
        <v/>
      </c>
    </row>
    <row r="178">
      <c r="A178" s="3" t="n">
        <v>41883</v>
      </c>
      <c r="B178" s="4" t="inlineStr">
        <is>
          <t>2014m9</t>
        </is>
      </c>
      <c r="C178" s="5">
        <f>100*LN(LEVEL!C178)</f>
        <v/>
      </c>
      <c r="D178" s="5">
        <f>100*LN(LEVEL!D178)</f>
        <v/>
      </c>
      <c r="E178" s="5">
        <f>100*LN(LEVEL!E178)</f>
        <v/>
      </c>
      <c r="F178" s="5">
        <f>LEVEL!F178</f>
        <v/>
      </c>
      <c r="G178" s="5">
        <f>LEVEL!G178</f>
        <v/>
      </c>
      <c r="H178" s="5">
        <f>100*LN(LEVEL!H178)</f>
        <v/>
      </c>
      <c r="I178" s="5">
        <f>100*LN(LEVEL!I178)</f>
        <v/>
      </c>
      <c r="J178" s="5">
        <f>100*LN(LEVEL!J178)</f>
        <v/>
      </c>
      <c r="K178" s="5">
        <f>100*LN(LEVEL!K178)</f>
        <v/>
      </c>
      <c r="L178" s="5">
        <f>LEVEL!L178</f>
        <v/>
      </c>
      <c r="M178" s="5">
        <f>LEVEL!M178</f>
        <v/>
      </c>
      <c r="N178" s="5">
        <f>100*LN(LEVEL!N178)</f>
        <v/>
      </c>
      <c r="O178" s="5">
        <f>100*LN(LEVEL!O178)</f>
        <v/>
      </c>
      <c r="P178" s="6">
        <f>IF(AND(YEAR($A178)=2020,MONTH($A178)=3),1,0)</f>
        <v/>
      </c>
      <c r="Q178" s="6">
        <f>IF(AND(YEAR($A178)=2020,MONTH($A178)=4),1,0)</f>
        <v/>
      </c>
      <c r="R178" s="6">
        <f>IF(AND(YEAR($A178)=2020,MONTH($A178)=5),1,0)</f>
        <v/>
      </c>
      <c r="S178" s="6">
        <f>IF(AND(YEAR($A178)=2020,MONTH($A178)=6),1,0)</f>
        <v/>
      </c>
    </row>
    <row r="179">
      <c r="A179" s="3" t="n">
        <v>41913</v>
      </c>
      <c r="B179" s="4" t="inlineStr">
        <is>
          <t>2014m10</t>
        </is>
      </c>
      <c r="C179" s="5">
        <f>100*LN(LEVEL!C179)</f>
        <v/>
      </c>
      <c r="D179" s="5">
        <f>100*LN(LEVEL!D179)</f>
        <v/>
      </c>
      <c r="E179" s="5">
        <f>100*LN(LEVEL!E179)</f>
        <v/>
      </c>
      <c r="F179" s="5">
        <f>LEVEL!F179</f>
        <v/>
      </c>
      <c r="G179" s="5">
        <f>LEVEL!G179</f>
        <v/>
      </c>
      <c r="H179" s="5">
        <f>100*LN(LEVEL!H179)</f>
        <v/>
      </c>
      <c r="I179" s="5">
        <f>100*LN(LEVEL!I179)</f>
        <v/>
      </c>
      <c r="J179" s="5">
        <f>100*LN(LEVEL!J179)</f>
        <v/>
      </c>
      <c r="K179" s="5">
        <f>100*LN(LEVEL!K179)</f>
        <v/>
      </c>
      <c r="L179" s="5">
        <f>LEVEL!L179</f>
        <v/>
      </c>
      <c r="M179" s="5">
        <f>LEVEL!M179</f>
        <v/>
      </c>
      <c r="N179" s="5">
        <f>100*LN(LEVEL!N179)</f>
        <v/>
      </c>
      <c r="O179" s="5">
        <f>100*LN(LEVEL!O179)</f>
        <v/>
      </c>
      <c r="P179" s="6">
        <f>IF(AND(YEAR($A179)=2020,MONTH($A179)=3),1,0)</f>
        <v/>
      </c>
      <c r="Q179" s="6">
        <f>IF(AND(YEAR($A179)=2020,MONTH($A179)=4),1,0)</f>
        <v/>
      </c>
      <c r="R179" s="6">
        <f>IF(AND(YEAR($A179)=2020,MONTH($A179)=5),1,0)</f>
        <v/>
      </c>
      <c r="S179" s="6">
        <f>IF(AND(YEAR($A179)=2020,MONTH($A179)=6),1,0)</f>
        <v/>
      </c>
    </row>
    <row r="180">
      <c r="A180" s="3" t="n">
        <v>41944</v>
      </c>
      <c r="B180" s="4" t="inlineStr">
        <is>
          <t>2014m11</t>
        </is>
      </c>
      <c r="C180" s="5">
        <f>100*LN(LEVEL!C180)</f>
        <v/>
      </c>
      <c r="D180" s="5">
        <f>100*LN(LEVEL!D180)</f>
        <v/>
      </c>
      <c r="E180" s="5">
        <f>100*LN(LEVEL!E180)</f>
        <v/>
      </c>
      <c r="F180" s="5">
        <f>LEVEL!F180</f>
        <v/>
      </c>
      <c r="G180" s="5">
        <f>LEVEL!G180</f>
        <v/>
      </c>
      <c r="H180" s="5">
        <f>100*LN(LEVEL!H180)</f>
        <v/>
      </c>
      <c r="I180" s="5">
        <f>100*LN(LEVEL!I180)</f>
        <v/>
      </c>
      <c r="J180" s="5">
        <f>100*LN(LEVEL!J180)</f>
        <v/>
      </c>
      <c r="K180" s="5">
        <f>100*LN(LEVEL!K180)</f>
        <v/>
      </c>
      <c r="L180" s="5">
        <f>LEVEL!L180</f>
        <v/>
      </c>
      <c r="M180" s="5">
        <f>LEVEL!M180</f>
        <v/>
      </c>
      <c r="N180" s="5">
        <f>100*LN(LEVEL!N180)</f>
        <v/>
      </c>
      <c r="O180" s="5">
        <f>100*LN(LEVEL!O180)</f>
        <v/>
      </c>
      <c r="P180" s="6">
        <f>IF(AND(YEAR($A180)=2020,MONTH($A180)=3),1,0)</f>
        <v/>
      </c>
      <c r="Q180" s="6">
        <f>IF(AND(YEAR($A180)=2020,MONTH($A180)=4),1,0)</f>
        <v/>
      </c>
      <c r="R180" s="6">
        <f>IF(AND(YEAR($A180)=2020,MONTH($A180)=5),1,0)</f>
        <v/>
      </c>
      <c r="S180" s="6">
        <f>IF(AND(YEAR($A180)=2020,MONTH($A180)=6),1,0)</f>
        <v/>
      </c>
    </row>
    <row r="181">
      <c r="A181" s="3" t="n">
        <v>41974</v>
      </c>
      <c r="B181" s="4" t="inlineStr">
        <is>
          <t>2014m12</t>
        </is>
      </c>
      <c r="C181" s="5">
        <f>100*LN(LEVEL!C181)</f>
        <v/>
      </c>
      <c r="D181" s="5">
        <f>100*LN(LEVEL!D181)</f>
        <v/>
      </c>
      <c r="E181" s="5">
        <f>100*LN(LEVEL!E181)</f>
        <v/>
      </c>
      <c r="F181" s="5">
        <f>LEVEL!F181</f>
        <v/>
      </c>
      <c r="G181" s="5">
        <f>LEVEL!G181</f>
        <v/>
      </c>
      <c r="H181" s="5">
        <f>100*LN(LEVEL!H181)</f>
        <v/>
      </c>
      <c r="I181" s="5">
        <f>100*LN(LEVEL!I181)</f>
        <v/>
      </c>
      <c r="J181" s="5">
        <f>100*LN(LEVEL!J181)</f>
        <v/>
      </c>
      <c r="K181" s="5">
        <f>100*LN(LEVEL!K181)</f>
        <v/>
      </c>
      <c r="L181" s="5">
        <f>LEVEL!L181</f>
        <v/>
      </c>
      <c r="M181" s="5">
        <f>LEVEL!M181</f>
        <v/>
      </c>
      <c r="N181" s="5">
        <f>100*LN(LEVEL!N181)</f>
        <v/>
      </c>
      <c r="O181" s="5">
        <f>100*LN(LEVEL!O181)</f>
        <v/>
      </c>
      <c r="P181" s="6">
        <f>IF(AND(YEAR($A181)=2020,MONTH($A181)=3),1,0)</f>
        <v/>
      </c>
      <c r="Q181" s="6">
        <f>IF(AND(YEAR($A181)=2020,MONTH($A181)=4),1,0)</f>
        <v/>
      </c>
      <c r="R181" s="6">
        <f>IF(AND(YEAR($A181)=2020,MONTH($A181)=5),1,0)</f>
        <v/>
      </c>
      <c r="S181" s="6">
        <f>IF(AND(YEAR($A181)=2020,MONTH($A181)=6),1,0)</f>
        <v/>
      </c>
    </row>
    <row r="182">
      <c r="A182" s="3" t="n">
        <v>42005</v>
      </c>
      <c r="B182" s="4" t="inlineStr">
        <is>
          <t>2015m1</t>
        </is>
      </c>
      <c r="C182" s="5">
        <f>100*LN(LEVEL!C182)</f>
        <v/>
      </c>
      <c r="D182" s="5">
        <f>100*LN(LEVEL!D182)</f>
        <v/>
      </c>
      <c r="E182" s="5">
        <f>100*LN(LEVEL!E182)</f>
        <v/>
      </c>
      <c r="F182" s="5">
        <f>LEVEL!F182</f>
        <v/>
      </c>
      <c r="G182" s="5">
        <f>LEVEL!G182</f>
        <v/>
      </c>
      <c r="H182" s="5">
        <f>100*LN(LEVEL!H182)</f>
        <v/>
      </c>
      <c r="I182" s="5">
        <f>100*LN(LEVEL!I182)</f>
        <v/>
      </c>
      <c r="J182" s="5">
        <f>100*LN(LEVEL!J182)</f>
        <v/>
      </c>
      <c r="K182" s="5">
        <f>100*LN(LEVEL!K182)</f>
        <v/>
      </c>
      <c r="L182" s="5">
        <f>LEVEL!L182</f>
        <v/>
      </c>
      <c r="M182" s="5">
        <f>LEVEL!M182</f>
        <v/>
      </c>
      <c r="N182" s="5">
        <f>100*LN(LEVEL!N182)</f>
        <v/>
      </c>
      <c r="O182" s="5">
        <f>100*LN(LEVEL!O182)</f>
        <v/>
      </c>
      <c r="P182" s="6">
        <f>IF(AND(YEAR($A182)=2020,MONTH($A182)=3),1,0)</f>
        <v/>
      </c>
      <c r="Q182" s="6">
        <f>IF(AND(YEAR($A182)=2020,MONTH($A182)=4),1,0)</f>
        <v/>
      </c>
      <c r="R182" s="6">
        <f>IF(AND(YEAR($A182)=2020,MONTH($A182)=5),1,0)</f>
        <v/>
      </c>
      <c r="S182" s="6">
        <f>IF(AND(YEAR($A182)=2020,MONTH($A182)=6),1,0)</f>
        <v/>
      </c>
    </row>
    <row r="183">
      <c r="A183" s="3" t="n">
        <v>42036</v>
      </c>
      <c r="B183" s="4" t="inlineStr">
        <is>
          <t>2015m2</t>
        </is>
      </c>
      <c r="C183" s="5">
        <f>100*LN(LEVEL!C183)</f>
        <v/>
      </c>
      <c r="D183" s="5">
        <f>100*LN(LEVEL!D183)</f>
        <v/>
      </c>
      <c r="E183" s="5">
        <f>100*LN(LEVEL!E183)</f>
        <v/>
      </c>
      <c r="F183" s="5">
        <f>LEVEL!F183</f>
        <v/>
      </c>
      <c r="G183" s="5">
        <f>LEVEL!G183</f>
        <v/>
      </c>
      <c r="H183" s="5">
        <f>100*LN(LEVEL!H183)</f>
        <v/>
      </c>
      <c r="I183" s="5">
        <f>100*LN(LEVEL!I183)</f>
        <v/>
      </c>
      <c r="J183" s="5">
        <f>100*LN(LEVEL!J183)</f>
        <v/>
      </c>
      <c r="K183" s="5">
        <f>100*LN(LEVEL!K183)</f>
        <v/>
      </c>
      <c r="L183" s="5">
        <f>LEVEL!L183</f>
        <v/>
      </c>
      <c r="M183" s="5">
        <f>LEVEL!M183</f>
        <v/>
      </c>
      <c r="N183" s="5">
        <f>100*LN(LEVEL!N183)</f>
        <v/>
      </c>
      <c r="O183" s="5">
        <f>100*LN(LEVEL!O183)</f>
        <v/>
      </c>
      <c r="P183" s="6">
        <f>IF(AND(YEAR($A183)=2020,MONTH($A183)=3),1,0)</f>
        <v/>
      </c>
      <c r="Q183" s="6">
        <f>IF(AND(YEAR($A183)=2020,MONTH($A183)=4),1,0)</f>
        <v/>
      </c>
      <c r="R183" s="6">
        <f>IF(AND(YEAR($A183)=2020,MONTH($A183)=5),1,0)</f>
        <v/>
      </c>
      <c r="S183" s="6">
        <f>IF(AND(YEAR($A183)=2020,MONTH($A183)=6),1,0)</f>
        <v/>
      </c>
    </row>
    <row r="184">
      <c r="A184" s="3" t="n">
        <v>42064</v>
      </c>
      <c r="B184" s="4" t="inlineStr">
        <is>
          <t>2015m3</t>
        </is>
      </c>
      <c r="C184" s="5">
        <f>100*LN(LEVEL!C184)</f>
        <v/>
      </c>
      <c r="D184" s="5">
        <f>100*LN(LEVEL!D184)</f>
        <v/>
      </c>
      <c r="E184" s="5">
        <f>100*LN(LEVEL!E184)</f>
        <v/>
      </c>
      <c r="F184" s="5">
        <f>LEVEL!F184</f>
        <v/>
      </c>
      <c r="G184" s="5">
        <f>LEVEL!G184</f>
        <v/>
      </c>
      <c r="H184" s="5">
        <f>100*LN(LEVEL!H184)</f>
        <v/>
      </c>
      <c r="I184" s="5">
        <f>100*LN(LEVEL!I184)</f>
        <v/>
      </c>
      <c r="J184" s="5">
        <f>100*LN(LEVEL!J184)</f>
        <v/>
      </c>
      <c r="K184" s="5">
        <f>100*LN(LEVEL!K184)</f>
        <v/>
      </c>
      <c r="L184" s="5">
        <f>LEVEL!L184</f>
        <v/>
      </c>
      <c r="M184" s="5">
        <f>LEVEL!M184</f>
        <v/>
      </c>
      <c r="N184" s="5">
        <f>100*LN(LEVEL!N184)</f>
        <v/>
      </c>
      <c r="O184" s="5">
        <f>100*LN(LEVEL!O184)</f>
        <v/>
      </c>
      <c r="P184" s="6">
        <f>IF(AND(YEAR($A184)=2020,MONTH($A184)=3),1,0)</f>
        <v/>
      </c>
      <c r="Q184" s="6">
        <f>IF(AND(YEAR($A184)=2020,MONTH($A184)=4),1,0)</f>
        <v/>
      </c>
      <c r="R184" s="6">
        <f>IF(AND(YEAR($A184)=2020,MONTH($A184)=5),1,0)</f>
        <v/>
      </c>
      <c r="S184" s="6">
        <f>IF(AND(YEAR($A184)=2020,MONTH($A184)=6),1,0)</f>
        <v/>
      </c>
    </row>
    <row r="185">
      <c r="A185" s="3" t="n">
        <v>42095</v>
      </c>
      <c r="B185" s="4" t="inlineStr">
        <is>
          <t>2015m4</t>
        </is>
      </c>
      <c r="C185" s="5">
        <f>100*LN(LEVEL!C185)</f>
        <v/>
      </c>
      <c r="D185" s="5">
        <f>100*LN(LEVEL!D185)</f>
        <v/>
      </c>
      <c r="E185" s="5">
        <f>100*LN(LEVEL!E185)</f>
        <v/>
      </c>
      <c r="F185" s="5">
        <f>LEVEL!F185</f>
        <v/>
      </c>
      <c r="G185" s="5">
        <f>LEVEL!G185</f>
        <v/>
      </c>
      <c r="H185" s="5">
        <f>100*LN(LEVEL!H185)</f>
        <v/>
      </c>
      <c r="I185" s="5">
        <f>100*LN(LEVEL!I185)</f>
        <v/>
      </c>
      <c r="J185" s="5">
        <f>100*LN(LEVEL!J185)</f>
        <v/>
      </c>
      <c r="K185" s="5">
        <f>100*LN(LEVEL!K185)</f>
        <v/>
      </c>
      <c r="L185" s="5">
        <f>LEVEL!L185</f>
        <v/>
      </c>
      <c r="M185" s="5">
        <f>LEVEL!M185</f>
        <v/>
      </c>
      <c r="N185" s="5">
        <f>100*LN(LEVEL!N185)</f>
        <v/>
      </c>
      <c r="O185" s="5">
        <f>100*LN(LEVEL!O185)</f>
        <v/>
      </c>
      <c r="P185" s="6">
        <f>IF(AND(YEAR($A185)=2020,MONTH($A185)=3),1,0)</f>
        <v/>
      </c>
      <c r="Q185" s="6">
        <f>IF(AND(YEAR($A185)=2020,MONTH($A185)=4),1,0)</f>
        <v/>
      </c>
      <c r="R185" s="6">
        <f>IF(AND(YEAR($A185)=2020,MONTH($A185)=5),1,0)</f>
        <v/>
      </c>
      <c r="S185" s="6">
        <f>IF(AND(YEAR($A185)=2020,MONTH($A185)=6),1,0)</f>
        <v/>
      </c>
    </row>
    <row r="186">
      <c r="A186" s="3" t="n">
        <v>42125</v>
      </c>
      <c r="B186" s="4" t="inlineStr">
        <is>
          <t>2015m5</t>
        </is>
      </c>
      <c r="C186" s="5">
        <f>100*LN(LEVEL!C186)</f>
        <v/>
      </c>
      <c r="D186" s="5">
        <f>100*LN(LEVEL!D186)</f>
        <v/>
      </c>
      <c r="E186" s="5">
        <f>100*LN(LEVEL!E186)</f>
        <v/>
      </c>
      <c r="F186" s="5">
        <f>LEVEL!F186</f>
        <v/>
      </c>
      <c r="G186" s="5">
        <f>LEVEL!G186</f>
        <v/>
      </c>
      <c r="H186" s="5">
        <f>100*LN(LEVEL!H186)</f>
        <v/>
      </c>
      <c r="I186" s="5">
        <f>100*LN(LEVEL!I186)</f>
        <v/>
      </c>
      <c r="J186" s="5">
        <f>100*LN(LEVEL!J186)</f>
        <v/>
      </c>
      <c r="K186" s="5">
        <f>100*LN(LEVEL!K186)</f>
        <v/>
      </c>
      <c r="L186" s="5">
        <f>LEVEL!L186</f>
        <v/>
      </c>
      <c r="M186" s="5">
        <f>LEVEL!M186</f>
        <v/>
      </c>
      <c r="N186" s="5">
        <f>100*LN(LEVEL!N186)</f>
        <v/>
      </c>
      <c r="O186" s="5">
        <f>100*LN(LEVEL!O186)</f>
        <v/>
      </c>
      <c r="P186" s="6">
        <f>IF(AND(YEAR($A186)=2020,MONTH($A186)=3),1,0)</f>
        <v/>
      </c>
      <c r="Q186" s="6">
        <f>IF(AND(YEAR($A186)=2020,MONTH($A186)=4),1,0)</f>
        <v/>
      </c>
      <c r="R186" s="6">
        <f>IF(AND(YEAR($A186)=2020,MONTH($A186)=5),1,0)</f>
        <v/>
      </c>
      <c r="S186" s="6">
        <f>IF(AND(YEAR($A186)=2020,MONTH($A186)=6),1,0)</f>
        <v/>
      </c>
    </row>
    <row r="187">
      <c r="A187" s="3" t="n">
        <v>42156</v>
      </c>
      <c r="B187" s="4" t="inlineStr">
        <is>
          <t>2015m6</t>
        </is>
      </c>
      <c r="C187" s="5">
        <f>100*LN(LEVEL!C187)</f>
        <v/>
      </c>
      <c r="D187" s="5">
        <f>100*LN(LEVEL!D187)</f>
        <v/>
      </c>
      <c r="E187" s="5">
        <f>100*LN(LEVEL!E187)</f>
        <v/>
      </c>
      <c r="F187" s="5">
        <f>LEVEL!F187</f>
        <v/>
      </c>
      <c r="G187" s="5">
        <f>LEVEL!G187</f>
        <v/>
      </c>
      <c r="H187" s="5">
        <f>100*LN(LEVEL!H187)</f>
        <v/>
      </c>
      <c r="I187" s="5">
        <f>100*LN(LEVEL!I187)</f>
        <v/>
      </c>
      <c r="J187" s="5">
        <f>100*LN(LEVEL!J187)</f>
        <v/>
      </c>
      <c r="K187" s="5">
        <f>100*LN(LEVEL!K187)</f>
        <v/>
      </c>
      <c r="L187" s="5">
        <f>LEVEL!L187</f>
        <v/>
      </c>
      <c r="M187" s="5">
        <f>LEVEL!M187</f>
        <v/>
      </c>
      <c r="N187" s="5">
        <f>100*LN(LEVEL!N187)</f>
        <v/>
      </c>
      <c r="O187" s="5">
        <f>100*LN(LEVEL!O187)</f>
        <v/>
      </c>
      <c r="P187" s="6">
        <f>IF(AND(YEAR($A187)=2020,MONTH($A187)=3),1,0)</f>
        <v/>
      </c>
      <c r="Q187" s="6">
        <f>IF(AND(YEAR($A187)=2020,MONTH($A187)=4),1,0)</f>
        <v/>
      </c>
      <c r="R187" s="6">
        <f>IF(AND(YEAR($A187)=2020,MONTH($A187)=5),1,0)</f>
        <v/>
      </c>
      <c r="S187" s="6">
        <f>IF(AND(YEAR($A187)=2020,MONTH($A187)=6),1,0)</f>
        <v/>
      </c>
    </row>
    <row r="188">
      <c r="A188" s="3" t="n">
        <v>42186</v>
      </c>
      <c r="B188" s="4" t="inlineStr">
        <is>
          <t>2015m7</t>
        </is>
      </c>
      <c r="C188" s="5">
        <f>100*LN(LEVEL!C188)</f>
        <v/>
      </c>
      <c r="D188" s="5">
        <f>100*LN(LEVEL!D188)</f>
        <v/>
      </c>
      <c r="E188" s="5">
        <f>100*LN(LEVEL!E188)</f>
        <v/>
      </c>
      <c r="F188" s="5">
        <f>LEVEL!F188</f>
        <v/>
      </c>
      <c r="G188" s="5">
        <f>LEVEL!G188</f>
        <v/>
      </c>
      <c r="H188" s="5">
        <f>100*LN(LEVEL!H188)</f>
        <v/>
      </c>
      <c r="I188" s="5">
        <f>100*LN(LEVEL!I188)</f>
        <v/>
      </c>
      <c r="J188" s="5">
        <f>100*LN(LEVEL!J188)</f>
        <v/>
      </c>
      <c r="K188" s="5">
        <f>100*LN(LEVEL!K188)</f>
        <v/>
      </c>
      <c r="L188" s="5">
        <f>LEVEL!L188</f>
        <v/>
      </c>
      <c r="M188" s="5">
        <f>LEVEL!M188</f>
        <v/>
      </c>
      <c r="N188" s="5">
        <f>100*LN(LEVEL!N188)</f>
        <v/>
      </c>
      <c r="O188" s="5">
        <f>100*LN(LEVEL!O188)</f>
        <v/>
      </c>
      <c r="P188" s="6">
        <f>IF(AND(YEAR($A188)=2020,MONTH($A188)=3),1,0)</f>
        <v/>
      </c>
      <c r="Q188" s="6">
        <f>IF(AND(YEAR($A188)=2020,MONTH($A188)=4),1,0)</f>
        <v/>
      </c>
      <c r="R188" s="6">
        <f>IF(AND(YEAR($A188)=2020,MONTH($A188)=5),1,0)</f>
        <v/>
      </c>
      <c r="S188" s="6">
        <f>IF(AND(YEAR($A188)=2020,MONTH($A188)=6),1,0)</f>
        <v/>
      </c>
    </row>
    <row r="189">
      <c r="A189" s="3" t="n">
        <v>42217</v>
      </c>
      <c r="B189" s="4" t="inlineStr">
        <is>
          <t>2015m8</t>
        </is>
      </c>
      <c r="C189" s="5">
        <f>100*LN(LEVEL!C189)</f>
        <v/>
      </c>
      <c r="D189" s="5">
        <f>100*LN(LEVEL!D189)</f>
        <v/>
      </c>
      <c r="E189" s="5">
        <f>100*LN(LEVEL!E189)</f>
        <v/>
      </c>
      <c r="F189" s="5">
        <f>LEVEL!F189</f>
        <v/>
      </c>
      <c r="G189" s="5">
        <f>LEVEL!G189</f>
        <v/>
      </c>
      <c r="H189" s="5">
        <f>100*LN(LEVEL!H189)</f>
        <v/>
      </c>
      <c r="I189" s="5">
        <f>100*LN(LEVEL!I189)</f>
        <v/>
      </c>
      <c r="J189" s="5">
        <f>100*LN(LEVEL!J189)</f>
        <v/>
      </c>
      <c r="K189" s="5">
        <f>100*LN(LEVEL!K189)</f>
        <v/>
      </c>
      <c r="L189" s="5">
        <f>LEVEL!L189</f>
        <v/>
      </c>
      <c r="M189" s="5">
        <f>LEVEL!M189</f>
        <v/>
      </c>
      <c r="N189" s="5">
        <f>100*LN(LEVEL!N189)</f>
        <v/>
      </c>
      <c r="O189" s="5">
        <f>100*LN(LEVEL!O189)</f>
        <v/>
      </c>
      <c r="P189" s="6">
        <f>IF(AND(YEAR($A189)=2020,MONTH($A189)=3),1,0)</f>
        <v/>
      </c>
      <c r="Q189" s="6">
        <f>IF(AND(YEAR($A189)=2020,MONTH($A189)=4),1,0)</f>
        <v/>
      </c>
      <c r="R189" s="6">
        <f>IF(AND(YEAR($A189)=2020,MONTH($A189)=5),1,0)</f>
        <v/>
      </c>
      <c r="S189" s="6">
        <f>IF(AND(YEAR($A189)=2020,MONTH($A189)=6),1,0)</f>
        <v/>
      </c>
    </row>
    <row r="190">
      <c r="A190" s="3" t="n">
        <v>42248</v>
      </c>
      <c r="B190" s="4" t="inlineStr">
        <is>
          <t>2015m9</t>
        </is>
      </c>
      <c r="C190" s="5">
        <f>100*LN(LEVEL!C190)</f>
        <v/>
      </c>
      <c r="D190" s="5">
        <f>100*LN(LEVEL!D190)</f>
        <v/>
      </c>
      <c r="E190" s="5">
        <f>100*LN(LEVEL!E190)</f>
        <v/>
      </c>
      <c r="F190" s="5">
        <f>LEVEL!F190</f>
        <v/>
      </c>
      <c r="G190" s="5">
        <f>LEVEL!G190</f>
        <v/>
      </c>
      <c r="H190" s="5">
        <f>100*LN(LEVEL!H190)</f>
        <v/>
      </c>
      <c r="I190" s="5">
        <f>100*LN(LEVEL!I190)</f>
        <v/>
      </c>
      <c r="J190" s="5">
        <f>100*LN(LEVEL!J190)</f>
        <v/>
      </c>
      <c r="K190" s="5">
        <f>100*LN(LEVEL!K190)</f>
        <v/>
      </c>
      <c r="L190" s="5">
        <f>LEVEL!L190</f>
        <v/>
      </c>
      <c r="M190" s="5">
        <f>LEVEL!M190</f>
        <v/>
      </c>
      <c r="N190" s="5">
        <f>100*LN(LEVEL!N190)</f>
        <v/>
      </c>
      <c r="O190" s="5">
        <f>100*LN(LEVEL!O190)</f>
        <v/>
      </c>
      <c r="P190" s="6">
        <f>IF(AND(YEAR($A190)=2020,MONTH($A190)=3),1,0)</f>
        <v/>
      </c>
      <c r="Q190" s="6">
        <f>IF(AND(YEAR($A190)=2020,MONTH($A190)=4),1,0)</f>
        <v/>
      </c>
      <c r="R190" s="6">
        <f>IF(AND(YEAR($A190)=2020,MONTH($A190)=5),1,0)</f>
        <v/>
      </c>
      <c r="S190" s="6">
        <f>IF(AND(YEAR($A190)=2020,MONTH($A190)=6),1,0)</f>
        <v/>
      </c>
    </row>
    <row r="191">
      <c r="A191" s="3" t="n">
        <v>42278</v>
      </c>
      <c r="B191" s="4" t="inlineStr">
        <is>
          <t>2015m10</t>
        </is>
      </c>
      <c r="C191" s="5">
        <f>100*LN(LEVEL!C191)</f>
        <v/>
      </c>
      <c r="D191" s="5">
        <f>100*LN(LEVEL!D191)</f>
        <v/>
      </c>
      <c r="E191" s="5">
        <f>100*LN(LEVEL!E191)</f>
        <v/>
      </c>
      <c r="F191" s="5">
        <f>LEVEL!F191</f>
        <v/>
      </c>
      <c r="G191" s="5">
        <f>LEVEL!G191</f>
        <v/>
      </c>
      <c r="H191" s="5">
        <f>100*LN(LEVEL!H191)</f>
        <v/>
      </c>
      <c r="I191" s="5">
        <f>100*LN(LEVEL!I191)</f>
        <v/>
      </c>
      <c r="J191" s="5">
        <f>100*LN(LEVEL!J191)</f>
        <v/>
      </c>
      <c r="K191" s="5">
        <f>100*LN(LEVEL!K191)</f>
        <v/>
      </c>
      <c r="L191" s="5">
        <f>LEVEL!L191</f>
        <v/>
      </c>
      <c r="M191" s="5">
        <f>LEVEL!M191</f>
        <v/>
      </c>
      <c r="N191" s="5">
        <f>100*LN(LEVEL!N191)</f>
        <v/>
      </c>
      <c r="O191" s="5">
        <f>100*LN(LEVEL!O191)</f>
        <v/>
      </c>
      <c r="P191" s="6">
        <f>IF(AND(YEAR($A191)=2020,MONTH($A191)=3),1,0)</f>
        <v/>
      </c>
      <c r="Q191" s="6">
        <f>IF(AND(YEAR($A191)=2020,MONTH($A191)=4),1,0)</f>
        <v/>
      </c>
      <c r="R191" s="6">
        <f>IF(AND(YEAR($A191)=2020,MONTH($A191)=5),1,0)</f>
        <v/>
      </c>
      <c r="S191" s="6">
        <f>IF(AND(YEAR($A191)=2020,MONTH($A191)=6),1,0)</f>
        <v/>
      </c>
    </row>
    <row r="192">
      <c r="A192" s="3" t="n">
        <v>42309</v>
      </c>
      <c r="B192" s="4" t="inlineStr">
        <is>
          <t>2015m11</t>
        </is>
      </c>
      <c r="C192" s="5">
        <f>100*LN(LEVEL!C192)</f>
        <v/>
      </c>
      <c r="D192" s="5">
        <f>100*LN(LEVEL!D192)</f>
        <v/>
      </c>
      <c r="E192" s="5">
        <f>100*LN(LEVEL!E192)</f>
        <v/>
      </c>
      <c r="F192" s="5">
        <f>LEVEL!F192</f>
        <v/>
      </c>
      <c r="G192" s="5">
        <f>LEVEL!G192</f>
        <v/>
      </c>
      <c r="H192" s="5">
        <f>100*LN(LEVEL!H192)</f>
        <v/>
      </c>
      <c r="I192" s="5">
        <f>100*LN(LEVEL!I192)</f>
        <v/>
      </c>
      <c r="J192" s="5">
        <f>100*LN(LEVEL!J192)</f>
        <v/>
      </c>
      <c r="K192" s="5">
        <f>100*LN(LEVEL!K192)</f>
        <v/>
      </c>
      <c r="L192" s="5">
        <f>LEVEL!L192</f>
        <v/>
      </c>
      <c r="M192" s="5">
        <f>LEVEL!M192</f>
        <v/>
      </c>
      <c r="N192" s="5">
        <f>100*LN(LEVEL!N192)</f>
        <v/>
      </c>
      <c r="O192" s="5">
        <f>100*LN(LEVEL!O192)</f>
        <v/>
      </c>
      <c r="P192" s="6">
        <f>IF(AND(YEAR($A192)=2020,MONTH($A192)=3),1,0)</f>
        <v/>
      </c>
      <c r="Q192" s="6">
        <f>IF(AND(YEAR($A192)=2020,MONTH($A192)=4),1,0)</f>
        <v/>
      </c>
      <c r="R192" s="6">
        <f>IF(AND(YEAR($A192)=2020,MONTH($A192)=5),1,0)</f>
        <v/>
      </c>
      <c r="S192" s="6">
        <f>IF(AND(YEAR($A192)=2020,MONTH($A192)=6),1,0)</f>
        <v/>
      </c>
    </row>
    <row r="193">
      <c r="A193" s="3" t="n">
        <v>42339</v>
      </c>
      <c r="B193" s="4" t="inlineStr">
        <is>
          <t>2015m12</t>
        </is>
      </c>
      <c r="C193" s="5">
        <f>100*LN(LEVEL!C193)</f>
        <v/>
      </c>
      <c r="D193" s="5">
        <f>100*LN(LEVEL!D193)</f>
        <v/>
      </c>
      <c r="E193" s="5">
        <f>100*LN(LEVEL!E193)</f>
        <v/>
      </c>
      <c r="F193" s="5">
        <f>LEVEL!F193</f>
        <v/>
      </c>
      <c r="G193" s="5">
        <f>LEVEL!G193</f>
        <v/>
      </c>
      <c r="H193" s="5">
        <f>100*LN(LEVEL!H193)</f>
        <v/>
      </c>
      <c r="I193" s="5">
        <f>100*LN(LEVEL!I193)</f>
        <v/>
      </c>
      <c r="J193" s="5">
        <f>100*LN(LEVEL!J193)</f>
        <v/>
      </c>
      <c r="K193" s="5">
        <f>100*LN(LEVEL!K193)</f>
        <v/>
      </c>
      <c r="L193" s="5">
        <f>LEVEL!L193</f>
        <v/>
      </c>
      <c r="M193" s="5">
        <f>LEVEL!M193</f>
        <v/>
      </c>
      <c r="N193" s="5">
        <f>100*LN(LEVEL!N193)</f>
        <v/>
      </c>
      <c r="O193" s="5">
        <f>100*LN(LEVEL!O193)</f>
        <v/>
      </c>
      <c r="P193" s="6">
        <f>IF(AND(YEAR($A193)=2020,MONTH($A193)=3),1,0)</f>
        <v/>
      </c>
      <c r="Q193" s="6">
        <f>IF(AND(YEAR($A193)=2020,MONTH($A193)=4),1,0)</f>
        <v/>
      </c>
      <c r="R193" s="6">
        <f>IF(AND(YEAR($A193)=2020,MONTH($A193)=5),1,0)</f>
        <v/>
      </c>
      <c r="S193" s="6">
        <f>IF(AND(YEAR($A193)=2020,MONTH($A193)=6),1,0)</f>
        <v/>
      </c>
    </row>
    <row r="194">
      <c r="A194" s="3" t="n">
        <v>42370</v>
      </c>
      <c r="B194" s="4" t="inlineStr">
        <is>
          <t>2016m1</t>
        </is>
      </c>
      <c r="C194" s="5">
        <f>100*LN(LEVEL!C194)</f>
        <v/>
      </c>
      <c r="D194" s="5">
        <f>100*LN(LEVEL!D194)</f>
        <v/>
      </c>
      <c r="E194" s="5">
        <f>100*LN(LEVEL!E194)</f>
        <v/>
      </c>
      <c r="F194" s="5">
        <f>LEVEL!F194</f>
        <v/>
      </c>
      <c r="G194" s="5">
        <f>LEVEL!G194</f>
        <v/>
      </c>
      <c r="H194" s="5">
        <f>100*LN(LEVEL!H194)</f>
        <v/>
      </c>
      <c r="I194" s="5">
        <f>100*LN(LEVEL!I194)</f>
        <v/>
      </c>
      <c r="J194" s="5">
        <f>100*LN(LEVEL!J194)</f>
        <v/>
      </c>
      <c r="K194" s="5">
        <f>100*LN(LEVEL!K194)</f>
        <v/>
      </c>
      <c r="L194" s="5">
        <f>LEVEL!L194</f>
        <v/>
      </c>
      <c r="M194" s="5">
        <f>LEVEL!M194</f>
        <v/>
      </c>
      <c r="N194" s="5">
        <f>100*LN(LEVEL!N194)</f>
        <v/>
      </c>
      <c r="O194" s="5">
        <f>100*LN(LEVEL!O194)</f>
        <v/>
      </c>
      <c r="P194" s="6">
        <f>IF(AND(YEAR($A194)=2020,MONTH($A194)=3),1,0)</f>
        <v/>
      </c>
      <c r="Q194" s="6">
        <f>IF(AND(YEAR($A194)=2020,MONTH($A194)=4),1,0)</f>
        <v/>
      </c>
      <c r="R194" s="6">
        <f>IF(AND(YEAR($A194)=2020,MONTH($A194)=5),1,0)</f>
        <v/>
      </c>
      <c r="S194" s="6">
        <f>IF(AND(YEAR($A194)=2020,MONTH($A194)=6),1,0)</f>
        <v/>
      </c>
    </row>
    <row r="195">
      <c r="A195" s="3" t="n">
        <v>42401</v>
      </c>
      <c r="B195" s="4" t="inlineStr">
        <is>
          <t>2016m2</t>
        </is>
      </c>
      <c r="C195" s="5">
        <f>100*LN(LEVEL!C195)</f>
        <v/>
      </c>
      <c r="D195" s="5">
        <f>100*LN(LEVEL!D195)</f>
        <v/>
      </c>
      <c r="E195" s="5">
        <f>100*LN(LEVEL!E195)</f>
        <v/>
      </c>
      <c r="F195" s="5">
        <f>LEVEL!F195</f>
        <v/>
      </c>
      <c r="G195" s="5">
        <f>LEVEL!G195</f>
        <v/>
      </c>
      <c r="H195" s="5">
        <f>100*LN(LEVEL!H195)</f>
        <v/>
      </c>
      <c r="I195" s="5">
        <f>100*LN(LEVEL!I195)</f>
        <v/>
      </c>
      <c r="J195" s="5">
        <f>100*LN(LEVEL!J195)</f>
        <v/>
      </c>
      <c r="K195" s="5">
        <f>100*LN(LEVEL!K195)</f>
        <v/>
      </c>
      <c r="L195" s="5">
        <f>LEVEL!L195</f>
        <v/>
      </c>
      <c r="M195" s="5">
        <f>LEVEL!M195</f>
        <v/>
      </c>
      <c r="N195" s="5">
        <f>100*LN(LEVEL!N195)</f>
        <v/>
      </c>
      <c r="O195" s="5">
        <f>100*LN(LEVEL!O195)</f>
        <v/>
      </c>
      <c r="P195" s="6">
        <f>IF(AND(YEAR($A195)=2020,MONTH($A195)=3),1,0)</f>
        <v/>
      </c>
      <c r="Q195" s="6">
        <f>IF(AND(YEAR($A195)=2020,MONTH($A195)=4),1,0)</f>
        <v/>
      </c>
      <c r="R195" s="6">
        <f>IF(AND(YEAR($A195)=2020,MONTH($A195)=5),1,0)</f>
        <v/>
      </c>
      <c r="S195" s="6">
        <f>IF(AND(YEAR($A195)=2020,MONTH($A195)=6),1,0)</f>
        <v/>
      </c>
    </row>
    <row r="196">
      <c r="A196" s="3" t="n">
        <v>42430</v>
      </c>
      <c r="B196" s="4" t="inlineStr">
        <is>
          <t>2016m3</t>
        </is>
      </c>
      <c r="C196" s="5">
        <f>100*LN(LEVEL!C196)</f>
        <v/>
      </c>
      <c r="D196" s="5">
        <f>100*LN(LEVEL!D196)</f>
        <v/>
      </c>
      <c r="E196" s="5">
        <f>100*LN(LEVEL!E196)</f>
        <v/>
      </c>
      <c r="F196" s="5">
        <f>LEVEL!F196</f>
        <v/>
      </c>
      <c r="G196" s="5">
        <f>LEVEL!G196</f>
        <v/>
      </c>
      <c r="H196" s="5">
        <f>100*LN(LEVEL!H196)</f>
        <v/>
      </c>
      <c r="I196" s="5">
        <f>100*LN(LEVEL!I196)</f>
        <v/>
      </c>
      <c r="J196" s="5">
        <f>100*LN(LEVEL!J196)</f>
        <v/>
      </c>
      <c r="K196" s="5">
        <f>100*LN(LEVEL!K196)</f>
        <v/>
      </c>
      <c r="L196" s="5">
        <f>LEVEL!L196</f>
        <v/>
      </c>
      <c r="M196" s="5">
        <f>LEVEL!M196</f>
        <v/>
      </c>
      <c r="N196" s="5">
        <f>100*LN(LEVEL!N196)</f>
        <v/>
      </c>
      <c r="O196" s="5">
        <f>100*LN(LEVEL!O196)</f>
        <v/>
      </c>
      <c r="P196" s="6">
        <f>IF(AND(YEAR($A196)=2020,MONTH($A196)=3),1,0)</f>
        <v/>
      </c>
      <c r="Q196" s="6">
        <f>IF(AND(YEAR($A196)=2020,MONTH($A196)=4),1,0)</f>
        <v/>
      </c>
      <c r="R196" s="6">
        <f>IF(AND(YEAR($A196)=2020,MONTH($A196)=5),1,0)</f>
        <v/>
      </c>
      <c r="S196" s="6">
        <f>IF(AND(YEAR($A196)=2020,MONTH($A196)=6),1,0)</f>
        <v/>
      </c>
    </row>
    <row r="197">
      <c r="A197" s="3" t="n">
        <v>42461</v>
      </c>
      <c r="B197" s="4" t="inlineStr">
        <is>
          <t>2016m4</t>
        </is>
      </c>
      <c r="C197" s="5">
        <f>100*LN(LEVEL!C197)</f>
        <v/>
      </c>
      <c r="D197" s="5">
        <f>100*LN(LEVEL!D197)</f>
        <v/>
      </c>
      <c r="E197" s="5">
        <f>100*LN(LEVEL!E197)</f>
        <v/>
      </c>
      <c r="F197" s="5">
        <f>LEVEL!F197</f>
        <v/>
      </c>
      <c r="G197" s="5">
        <f>LEVEL!G197</f>
        <v/>
      </c>
      <c r="H197" s="5">
        <f>100*LN(LEVEL!H197)</f>
        <v/>
      </c>
      <c r="I197" s="5">
        <f>100*LN(LEVEL!I197)</f>
        <v/>
      </c>
      <c r="J197" s="5">
        <f>100*LN(LEVEL!J197)</f>
        <v/>
      </c>
      <c r="K197" s="5">
        <f>100*LN(LEVEL!K197)</f>
        <v/>
      </c>
      <c r="L197" s="5">
        <f>LEVEL!L197</f>
        <v/>
      </c>
      <c r="M197" s="5">
        <f>LEVEL!M197</f>
        <v/>
      </c>
      <c r="N197" s="5">
        <f>100*LN(LEVEL!N197)</f>
        <v/>
      </c>
      <c r="O197" s="5">
        <f>100*LN(LEVEL!O197)</f>
        <v/>
      </c>
      <c r="P197" s="6">
        <f>IF(AND(YEAR($A197)=2020,MONTH($A197)=3),1,0)</f>
        <v/>
      </c>
      <c r="Q197" s="6">
        <f>IF(AND(YEAR($A197)=2020,MONTH($A197)=4),1,0)</f>
        <v/>
      </c>
      <c r="R197" s="6">
        <f>IF(AND(YEAR($A197)=2020,MONTH($A197)=5),1,0)</f>
        <v/>
      </c>
      <c r="S197" s="6">
        <f>IF(AND(YEAR($A197)=2020,MONTH($A197)=6),1,0)</f>
        <v/>
      </c>
    </row>
    <row r="198">
      <c r="A198" s="3" t="n">
        <v>42491</v>
      </c>
      <c r="B198" s="4" t="inlineStr">
        <is>
          <t>2016m5</t>
        </is>
      </c>
      <c r="C198" s="5">
        <f>100*LN(LEVEL!C198)</f>
        <v/>
      </c>
      <c r="D198" s="5">
        <f>100*LN(LEVEL!D198)</f>
        <v/>
      </c>
      <c r="E198" s="5">
        <f>100*LN(LEVEL!E198)</f>
        <v/>
      </c>
      <c r="F198" s="5">
        <f>LEVEL!F198</f>
        <v/>
      </c>
      <c r="G198" s="5">
        <f>LEVEL!G198</f>
        <v/>
      </c>
      <c r="H198" s="5">
        <f>100*LN(LEVEL!H198)</f>
        <v/>
      </c>
      <c r="I198" s="5">
        <f>100*LN(LEVEL!I198)</f>
        <v/>
      </c>
      <c r="J198" s="5">
        <f>100*LN(LEVEL!J198)</f>
        <v/>
      </c>
      <c r="K198" s="5">
        <f>100*LN(LEVEL!K198)</f>
        <v/>
      </c>
      <c r="L198" s="5">
        <f>LEVEL!L198</f>
        <v/>
      </c>
      <c r="M198" s="5">
        <f>LEVEL!M198</f>
        <v/>
      </c>
      <c r="N198" s="5">
        <f>100*LN(LEVEL!N198)</f>
        <v/>
      </c>
      <c r="O198" s="5">
        <f>100*LN(LEVEL!O198)</f>
        <v/>
      </c>
      <c r="P198" s="6">
        <f>IF(AND(YEAR($A198)=2020,MONTH($A198)=3),1,0)</f>
        <v/>
      </c>
      <c r="Q198" s="6">
        <f>IF(AND(YEAR($A198)=2020,MONTH($A198)=4),1,0)</f>
        <v/>
      </c>
      <c r="R198" s="6">
        <f>IF(AND(YEAR($A198)=2020,MONTH($A198)=5),1,0)</f>
        <v/>
      </c>
      <c r="S198" s="6">
        <f>IF(AND(YEAR($A198)=2020,MONTH($A198)=6),1,0)</f>
        <v/>
      </c>
    </row>
    <row r="199">
      <c r="A199" s="3" t="n">
        <v>42522</v>
      </c>
      <c r="B199" s="4" t="inlineStr">
        <is>
          <t>2016m6</t>
        </is>
      </c>
      <c r="C199" s="5">
        <f>100*LN(LEVEL!C199)</f>
        <v/>
      </c>
      <c r="D199" s="5">
        <f>100*LN(LEVEL!D199)</f>
        <v/>
      </c>
      <c r="E199" s="5">
        <f>100*LN(LEVEL!E199)</f>
        <v/>
      </c>
      <c r="F199" s="5">
        <f>LEVEL!F199</f>
        <v/>
      </c>
      <c r="G199" s="5">
        <f>LEVEL!G199</f>
        <v/>
      </c>
      <c r="H199" s="5">
        <f>100*LN(LEVEL!H199)</f>
        <v/>
      </c>
      <c r="I199" s="5">
        <f>100*LN(LEVEL!I199)</f>
        <v/>
      </c>
      <c r="J199" s="5">
        <f>100*LN(LEVEL!J199)</f>
        <v/>
      </c>
      <c r="K199" s="5">
        <f>100*LN(LEVEL!K199)</f>
        <v/>
      </c>
      <c r="L199" s="5">
        <f>LEVEL!L199</f>
        <v/>
      </c>
      <c r="M199" s="5">
        <f>LEVEL!M199</f>
        <v/>
      </c>
      <c r="N199" s="5">
        <f>100*LN(LEVEL!N199)</f>
        <v/>
      </c>
      <c r="O199" s="5">
        <f>100*LN(LEVEL!O199)</f>
        <v/>
      </c>
      <c r="P199" s="6">
        <f>IF(AND(YEAR($A199)=2020,MONTH($A199)=3),1,0)</f>
        <v/>
      </c>
      <c r="Q199" s="6">
        <f>IF(AND(YEAR($A199)=2020,MONTH($A199)=4),1,0)</f>
        <v/>
      </c>
      <c r="R199" s="6">
        <f>IF(AND(YEAR($A199)=2020,MONTH($A199)=5),1,0)</f>
        <v/>
      </c>
      <c r="S199" s="6">
        <f>IF(AND(YEAR($A199)=2020,MONTH($A199)=6),1,0)</f>
        <v/>
      </c>
    </row>
    <row r="200">
      <c r="A200" s="3" t="n">
        <v>42552</v>
      </c>
      <c r="B200" s="4" t="inlineStr">
        <is>
          <t>2016m7</t>
        </is>
      </c>
      <c r="C200" s="5">
        <f>100*LN(LEVEL!C200)</f>
        <v/>
      </c>
      <c r="D200" s="5">
        <f>100*LN(LEVEL!D200)</f>
        <v/>
      </c>
      <c r="E200" s="5">
        <f>100*LN(LEVEL!E200)</f>
        <v/>
      </c>
      <c r="F200" s="5">
        <f>LEVEL!F200</f>
        <v/>
      </c>
      <c r="G200" s="5">
        <f>LEVEL!G200</f>
        <v/>
      </c>
      <c r="H200" s="5">
        <f>100*LN(LEVEL!H200)</f>
        <v/>
      </c>
      <c r="I200" s="5">
        <f>100*LN(LEVEL!I200)</f>
        <v/>
      </c>
      <c r="J200" s="5">
        <f>100*LN(LEVEL!J200)</f>
        <v/>
      </c>
      <c r="K200" s="5">
        <f>100*LN(LEVEL!K200)</f>
        <v/>
      </c>
      <c r="L200" s="5">
        <f>LEVEL!L200</f>
        <v/>
      </c>
      <c r="M200" s="5">
        <f>LEVEL!M200</f>
        <v/>
      </c>
      <c r="N200" s="5">
        <f>100*LN(LEVEL!N200)</f>
        <v/>
      </c>
      <c r="O200" s="5">
        <f>100*LN(LEVEL!O200)</f>
        <v/>
      </c>
      <c r="P200" s="6">
        <f>IF(AND(YEAR($A200)=2020,MONTH($A200)=3),1,0)</f>
        <v/>
      </c>
      <c r="Q200" s="6">
        <f>IF(AND(YEAR($A200)=2020,MONTH($A200)=4),1,0)</f>
        <v/>
      </c>
      <c r="R200" s="6">
        <f>IF(AND(YEAR($A200)=2020,MONTH($A200)=5),1,0)</f>
        <v/>
      </c>
      <c r="S200" s="6">
        <f>IF(AND(YEAR($A200)=2020,MONTH($A200)=6),1,0)</f>
        <v/>
      </c>
    </row>
    <row r="201">
      <c r="A201" s="3" t="n">
        <v>42583</v>
      </c>
      <c r="B201" s="4" t="inlineStr">
        <is>
          <t>2016m8</t>
        </is>
      </c>
      <c r="C201" s="5">
        <f>100*LN(LEVEL!C201)</f>
        <v/>
      </c>
      <c r="D201" s="5">
        <f>100*LN(LEVEL!D201)</f>
        <v/>
      </c>
      <c r="E201" s="5">
        <f>100*LN(LEVEL!E201)</f>
        <v/>
      </c>
      <c r="F201" s="5">
        <f>LEVEL!F201</f>
        <v/>
      </c>
      <c r="G201" s="5">
        <f>LEVEL!G201</f>
        <v/>
      </c>
      <c r="H201" s="5">
        <f>100*LN(LEVEL!H201)</f>
        <v/>
      </c>
      <c r="I201" s="5">
        <f>100*LN(LEVEL!I201)</f>
        <v/>
      </c>
      <c r="J201" s="5">
        <f>100*LN(LEVEL!J201)</f>
        <v/>
      </c>
      <c r="K201" s="5">
        <f>100*LN(LEVEL!K201)</f>
        <v/>
      </c>
      <c r="L201" s="5">
        <f>LEVEL!L201</f>
        <v/>
      </c>
      <c r="M201" s="5">
        <f>LEVEL!M201</f>
        <v/>
      </c>
      <c r="N201" s="5">
        <f>100*LN(LEVEL!N201)</f>
        <v/>
      </c>
      <c r="O201" s="5">
        <f>100*LN(LEVEL!O201)</f>
        <v/>
      </c>
      <c r="P201" s="6">
        <f>IF(AND(YEAR($A201)=2020,MONTH($A201)=3),1,0)</f>
        <v/>
      </c>
      <c r="Q201" s="6">
        <f>IF(AND(YEAR($A201)=2020,MONTH($A201)=4),1,0)</f>
        <v/>
      </c>
      <c r="R201" s="6">
        <f>IF(AND(YEAR($A201)=2020,MONTH($A201)=5),1,0)</f>
        <v/>
      </c>
      <c r="S201" s="6">
        <f>IF(AND(YEAR($A201)=2020,MONTH($A201)=6),1,0)</f>
        <v/>
      </c>
    </row>
    <row r="202">
      <c r="A202" s="3" t="n">
        <v>42614</v>
      </c>
      <c r="B202" s="4" t="inlineStr">
        <is>
          <t>2016m9</t>
        </is>
      </c>
      <c r="C202" s="5">
        <f>100*LN(LEVEL!C202)</f>
        <v/>
      </c>
      <c r="D202" s="5">
        <f>100*LN(LEVEL!D202)</f>
        <v/>
      </c>
      <c r="E202" s="5">
        <f>100*LN(LEVEL!E202)</f>
        <v/>
      </c>
      <c r="F202" s="5">
        <f>LEVEL!F202</f>
        <v/>
      </c>
      <c r="G202" s="5">
        <f>LEVEL!G202</f>
        <v/>
      </c>
      <c r="H202" s="5">
        <f>100*LN(LEVEL!H202)</f>
        <v/>
      </c>
      <c r="I202" s="5">
        <f>100*LN(LEVEL!I202)</f>
        <v/>
      </c>
      <c r="J202" s="5">
        <f>100*LN(LEVEL!J202)</f>
        <v/>
      </c>
      <c r="K202" s="5">
        <f>100*LN(LEVEL!K202)</f>
        <v/>
      </c>
      <c r="L202" s="5">
        <f>LEVEL!L202</f>
        <v/>
      </c>
      <c r="M202" s="5">
        <f>LEVEL!M202</f>
        <v/>
      </c>
      <c r="N202" s="5">
        <f>100*LN(LEVEL!N202)</f>
        <v/>
      </c>
      <c r="O202" s="5">
        <f>100*LN(LEVEL!O202)</f>
        <v/>
      </c>
      <c r="P202" s="6">
        <f>IF(AND(YEAR($A202)=2020,MONTH($A202)=3),1,0)</f>
        <v/>
      </c>
      <c r="Q202" s="6">
        <f>IF(AND(YEAR($A202)=2020,MONTH($A202)=4),1,0)</f>
        <v/>
      </c>
      <c r="R202" s="6">
        <f>IF(AND(YEAR($A202)=2020,MONTH($A202)=5),1,0)</f>
        <v/>
      </c>
      <c r="S202" s="6">
        <f>IF(AND(YEAR($A202)=2020,MONTH($A202)=6),1,0)</f>
        <v/>
      </c>
    </row>
    <row r="203">
      <c r="A203" s="3" t="n">
        <v>42644</v>
      </c>
      <c r="B203" s="4" t="inlineStr">
        <is>
          <t>2016m10</t>
        </is>
      </c>
      <c r="C203" s="5">
        <f>100*LN(LEVEL!C203)</f>
        <v/>
      </c>
      <c r="D203" s="5">
        <f>100*LN(LEVEL!D203)</f>
        <v/>
      </c>
      <c r="E203" s="5">
        <f>100*LN(LEVEL!E203)</f>
        <v/>
      </c>
      <c r="F203" s="5">
        <f>LEVEL!F203</f>
        <v/>
      </c>
      <c r="G203" s="5">
        <f>LEVEL!G203</f>
        <v/>
      </c>
      <c r="H203" s="5">
        <f>100*LN(LEVEL!H203)</f>
        <v/>
      </c>
      <c r="I203" s="5">
        <f>100*LN(LEVEL!I203)</f>
        <v/>
      </c>
      <c r="J203" s="5">
        <f>100*LN(LEVEL!J203)</f>
        <v/>
      </c>
      <c r="K203" s="5">
        <f>100*LN(LEVEL!K203)</f>
        <v/>
      </c>
      <c r="L203" s="5">
        <f>LEVEL!L203</f>
        <v/>
      </c>
      <c r="M203" s="5">
        <f>LEVEL!M203</f>
        <v/>
      </c>
      <c r="N203" s="5">
        <f>100*LN(LEVEL!N203)</f>
        <v/>
      </c>
      <c r="O203" s="5">
        <f>100*LN(LEVEL!O203)</f>
        <v/>
      </c>
      <c r="P203" s="6">
        <f>IF(AND(YEAR($A203)=2020,MONTH($A203)=3),1,0)</f>
        <v/>
      </c>
      <c r="Q203" s="6">
        <f>IF(AND(YEAR($A203)=2020,MONTH($A203)=4),1,0)</f>
        <v/>
      </c>
      <c r="R203" s="6">
        <f>IF(AND(YEAR($A203)=2020,MONTH($A203)=5),1,0)</f>
        <v/>
      </c>
      <c r="S203" s="6">
        <f>IF(AND(YEAR($A203)=2020,MONTH($A203)=6),1,0)</f>
        <v/>
      </c>
    </row>
    <row r="204">
      <c r="A204" s="3" t="n">
        <v>42675</v>
      </c>
      <c r="B204" s="4" t="inlineStr">
        <is>
          <t>2016m11</t>
        </is>
      </c>
      <c r="C204" s="5">
        <f>100*LN(LEVEL!C204)</f>
        <v/>
      </c>
      <c r="D204" s="5">
        <f>100*LN(LEVEL!D204)</f>
        <v/>
      </c>
      <c r="E204" s="5">
        <f>100*LN(LEVEL!E204)</f>
        <v/>
      </c>
      <c r="F204" s="5">
        <f>LEVEL!F204</f>
        <v/>
      </c>
      <c r="G204" s="5">
        <f>LEVEL!G204</f>
        <v/>
      </c>
      <c r="H204" s="5">
        <f>100*LN(LEVEL!H204)</f>
        <v/>
      </c>
      <c r="I204" s="5">
        <f>100*LN(LEVEL!I204)</f>
        <v/>
      </c>
      <c r="J204" s="5">
        <f>100*LN(LEVEL!J204)</f>
        <v/>
      </c>
      <c r="K204" s="5">
        <f>100*LN(LEVEL!K204)</f>
        <v/>
      </c>
      <c r="L204" s="5">
        <f>LEVEL!L204</f>
        <v/>
      </c>
      <c r="M204" s="5">
        <f>LEVEL!M204</f>
        <v/>
      </c>
      <c r="N204" s="5">
        <f>100*LN(LEVEL!N204)</f>
        <v/>
      </c>
      <c r="O204" s="5">
        <f>100*LN(LEVEL!O204)</f>
        <v/>
      </c>
      <c r="P204" s="6">
        <f>IF(AND(YEAR($A204)=2020,MONTH($A204)=3),1,0)</f>
        <v/>
      </c>
      <c r="Q204" s="6">
        <f>IF(AND(YEAR($A204)=2020,MONTH($A204)=4),1,0)</f>
        <v/>
      </c>
      <c r="R204" s="6">
        <f>IF(AND(YEAR($A204)=2020,MONTH($A204)=5),1,0)</f>
        <v/>
      </c>
      <c r="S204" s="6">
        <f>IF(AND(YEAR($A204)=2020,MONTH($A204)=6),1,0)</f>
        <v/>
      </c>
    </row>
    <row r="205">
      <c r="A205" s="3" t="n">
        <v>42705</v>
      </c>
      <c r="B205" s="4" t="inlineStr">
        <is>
          <t>2016m12</t>
        </is>
      </c>
      <c r="C205" s="5">
        <f>100*LN(LEVEL!C205)</f>
        <v/>
      </c>
      <c r="D205" s="5">
        <f>100*LN(LEVEL!D205)</f>
        <v/>
      </c>
      <c r="E205" s="5">
        <f>100*LN(LEVEL!E205)</f>
        <v/>
      </c>
      <c r="F205" s="5">
        <f>LEVEL!F205</f>
        <v/>
      </c>
      <c r="G205" s="5">
        <f>LEVEL!G205</f>
        <v/>
      </c>
      <c r="H205" s="5">
        <f>100*LN(LEVEL!H205)</f>
        <v/>
      </c>
      <c r="I205" s="5">
        <f>100*LN(LEVEL!I205)</f>
        <v/>
      </c>
      <c r="J205" s="5">
        <f>100*LN(LEVEL!J205)</f>
        <v/>
      </c>
      <c r="K205" s="5">
        <f>100*LN(LEVEL!K205)</f>
        <v/>
      </c>
      <c r="L205" s="5">
        <f>LEVEL!L205</f>
        <v/>
      </c>
      <c r="M205" s="5">
        <f>LEVEL!M205</f>
        <v/>
      </c>
      <c r="N205" s="5">
        <f>100*LN(LEVEL!N205)</f>
        <v/>
      </c>
      <c r="O205" s="5">
        <f>100*LN(LEVEL!O205)</f>
        <v/>
      </c>
      <c r="P205" s="6">
        <f>IF(AND(YEAR($A205)=2020,MONTH($A205)=3),1,0)</f>
        <v/>
      </c>
      <c r="Q205" s="6">
        <f>IF(AND(YEAR($A205)=2020,MONTH($A205)=4),1,0)</f>
        <v/>
      </c>
      <c r="R205" s="6">
        <f>IF(AND(YEAR($A205)=2020,MONTH($A205)=5),1,0)</f>
        <v/>
      </c>
      <c r="S205" s="6">
        <f>IF(AND(YEAR($A205)=2020,MONTH($A205)=6),1,0)</f>
        <v/>
      </c>
    </row>
    <row r="206">
      <c r="A206" s="3" t="n">
        <v>42736</v>
      </c>
      <c r="B206" s="4" t="inlineStr">
        <is>
          <t>2017m1</t>
        </is>
      </c>
      <c r="C206" s="5">
        <f>100*LN(LEVEL!C206)</f>
        <v/>
      </c>
      <c r="D206" s="5">
        <f>100*LN(LEVEL!D206)</f>
        <v/>
      </c>
      <c r="E206" s="5">
        <f>100*LN(LEVEL!E206)</f>
        <v/>
      </c>
      <c r="F206" s="5">
        <f>LEVEL!F206</f>
        <v/>
      </c>
      <c r="G206" s="5">
        <f>LEVEL!G206</f>
        <v/>
      </c>
      <c r="H206" s="5">
        <f>100*LN(LEVEL!H206)</f>
        <v/>
      </c>
      <c r="I206" s="5">
        <f>100*LN(LEVEL!I206)</f>
        <v/>
      </c>
      <c r="J206" s="5">
        <f>100*LN(LEVEL!J206)</f>
        <v/>
      </c>
      <c r="K206" s="5">
        <f>100*LN(LEVEL!K206)</f>
        <v/>
      </c>
      <c r="L206" s="5">
        <f>LEVEL!L206</f>
        <v/>
      </c>
      <c r="M206" s="5">
        <f>LEVEL!M206</f>
        <v/>
      </c>
      <c r="N206" s="5">
        <f>100*LN(LEVEL!N206)</f>
        <v/>
      </c>
      <c r="O206" s="5">
        <f>100*LN(LEVEL!O206)</f>
        <v/>
      </c>
      <c r="P206" s="6">
        <f>IF(AND(YEAR($A206)=2020,MONTH($A206)=3),1,0)</f>
        <v/>
      </c>
      <c r="Q206" s="6">
        <f>IF(AND(YEAR($A206)=2020,MONTH($A206)=4),1,0)</f>
        <v/>
      </c>
      <c r="R206" s="6">
        <f>IF(AND(YEAR($A206)=2020,MONTH($A206)=5),1,0)</f>
        <v/>
      </c>
      <c r="S206" s="6">
        <f>IF(AND(YEAR($A206)=2020,MONTH($A206)=6),1,0)</f>
        <v/>
      </c>
    </row>
    <row r="207">
      <c r="A207" s="3" t="n">
        <v>42767</v>
      </c>
      <c r="B207" s="4" t="inlineStr">
        <is>
          <t>2017m2</t>
        </is>
      </c>
      <c r="C207" s="5">
        <f>100*LN(LEVEL!C207)</f>
        <v/>
      </c>
      <c r="D207" s="5">
        <f>100*LN(LEVEL!D207)</f>
        <v/>
      </c>
      <c r="E207" s="5">
        <f>100*LN(LEVEL!E207)</f>
        <v/>
      </c>
      <c r="F207" s="5">
        <f>LEVEL!F207</f>
        <v/>
      </c>
      <c r="G207" s="5">
        <f>LEVEL!G207</f>
        <v/>
      </c>
      <c r="H207" s="5">
        <f>100*LN(LEVEL!H207)</f>
        <v/>
      </c>
      <c r="I207" s="5">
        <f>100*LN(LEVEL!I207)</f>
        <v/>
      </c>
      <c r="J207" s="5">
        <f>100*LN(LEVEL!J207)</f>
        <v/>
      </c>
      <c r="K207" s="5">
        <f>100*LN(LEVEL!K207)</f>
        <v/>
      </c>
      <c r="L207" s="5">
        <f>LEVEL!L207</f>
        <v/>
      </c>
      <c r="M207" s="5">
        <f>LEVEL!M207</f>
        <v/>
      </c>
      <c r="N207" s="5">
        <f>100*LN(LEVEL!N207)</f>
        <v/>
      </c>
      <c r="O207" s="5">
        <f>100*LN(LEVEL!O207)</f>
        <v/>
      </c>
      <c r="P207" s="6">
        <f>IF(AND(YEAR($A207)=2020,MONTH($A207)=3),1,0)</f>
        <v/>
      </c>
      <c r="Q207" s="6">
        <f>IF(AND(YEAR($A207)=2020,MONTH($A207)=4),1,0)</f>
        <v/>
      </c>
      <c r="R207" s="6">
        <f>IF(AND(YEAR($A207)=2020,MONTH($A207)=5),1,0)</f>
        <v/>
      </c>
      <c r="S207" s="6">
        <f>IF(AND(YEAR($A207)=2020,MONTH($A207)=6),1,0)</f>
        <v/>
      </c>
    </row>
    <row r="208">
      <c r="A208" s="3" t="n">
        <v>42795</v>
      </c>
      <c r="B208" s="4" t="inlineStr">
        <is>
          <t>2017m3</t>
        </is>
      </c>
      <c r="C208" s="5">
        <f>100*LN(LEVEL!C208)</f>
        <v/>
      </c>
      <c r="D208" s="5">
        <f>100*LN(LEVEL!D208)</f>
        <v/>
      </c>
      <c r="E208" s="5">
        <f>100*LN(LEVEL!E208)</f>
        <v/>
      </c>
      <c r="F208" s="5">
        <f>LEVEL!F208</f>
        <v/>
      </c>
      <c r="G208" s="5">
        <f>LEVEL!G208</f>
        <v/>
      </c>
      <c r="H208" s="5">
        <f>100*LN(LEVEL!H208)</f>
        <v/>
      </c>
      <c r="I208" s="5">
        <f>100*LN(LEVEL!I208)</f>
        <v/>
      </c>
      <c r="J208" s="5">
        <f>100*LN(LEVEL!J208)</f>
        <v/>
      </c>
      <c r="K208" s="5">
        <f>100*LN(LEVEL!K208)</f>
        <v/>
      </c>
      <c r="L208" s="5">
        <f>LEVEL!L208</f>
        <v/>
      </c>
      <c r="M208" s="5">
        <f>LEVEL!M208</f>
        <v/>
      </c>
      <c r="N208" s="5">
        <f>100*LN(LEVEL!N208)</f>
        <v/>
      </c>
      <c r="O208" s="5">
        <f>100*LN(LEVEL!O208)</f>
        <v/>
      </c>
      <c r="P208" s="6">
        <f>IF(AND(YEAR($A208)=2020,MONTH($A208)=3),1,0)</f>
        <v/>
      </c>
      <c r="Q208" s="6">
        <f>IF(AND(YEAR($A208)=2020,MONTH($A208)=4),1,0)</f>
        <v/>
      </c>
      <c r="R208" s="6">
        <f>IF(AND(YEAR($A208)=2020,MONTH($A208)=5),1,0)</f>
        <v/>
      </c>
      <c r="S208" s="6">
        <f>IF(AND(YEAR($A208)=2020,MONTH($A208)=6),1,0)</f>
        <v/>
      </c>
    </row>
    <row r="209">
      <c r="A209" s="3" t="n">
        <v>42826</v>
      </c>
      <c r="B209" s="4" t="inlineStr">
        <is>
          <t>2017m4</t>
        </is>
      </c>
      <c r="C209" s="5">
        <f>100*LN(LEVEL!C209)</f>
        <v/>
      </c>
      <c r="D209" s="5">
        <f>100*LN(LEVEL!D209)</f>
        <v/>
      </c>
      <c r="E209" s="5">
        <f>100*LN(LEVEL!E209)</f>
        <v/>
      </c>
      <c r="F209" s="5">
        <f>LEVEL!F209</f>
        <v/>
      </c>
      <c r="G209" s="5">
        <f>LEVEL!G209</f>
        <v/>
      </c>
      <c r="H209" s="5">
        <f>100*LN(LEVEL!H209)</f>
        <v/>
      </c>
      <c r="I209" s="5">
        <f>100*LN(LEVEL!I209)</f>
        <v/>
      </c>
      <c r="J209" s="5">
        <f>100*LN(LEVEL!J209)</f>
        <v/>
      </c>
      <c r="K209" s="5">
        <f>100*LN(LEVEL!K209)</f>
        <v/>
      </c>
      <c r="L209" s="5">
        <f>LEVEL!L209</f>
        <v/>
      </c>
      <c r="M209" s="5">
        <f>LEVEL!M209</f>
        <v/>
      </c>
      <c r="N209" s="5">
        <f>100*LN(LEVEL!N209)</f>
        <v/>
      </c>
      <c r="O209" s="5">
        <f>100*LN(LEVEL!O209)</f>
        <v/>
      </c>
      <c r="P209" s="6">
        <f>IF(AND(YEAR($A209)=2020,MONTH($A209)=3),1,0)</f>
        <v/>
      </c>
      <c r="Q209" s="6">
        <f>IF(AND(YEAR($A209)=2020,MONTH($A209)=4),1,0)</f>
        <v/>
      </c>
      <c r="R209" s="6">
        <f>IF(AND(YEAR($A209)=2020,MONTH($A209)=5),1,0)</f>
        <v/>
      </c>
      <c r="S209" s="6">
        <f>IF(AND(YEAR($A209)=2020,MONTH($A209)=6),1,0)</f>
        <v/>
      </c>
    </row>
    <row r="210">
      <c r="A210" s="3" t="n">
        <v>42856</v>
      </c>
      <c r="B210" s="4" t="inlineStr">
        <is>
          <t>2017m5</t>
        </is>
      </c>
      <c r="C210" s="5">
        <f>100*LN(LEVEL!C210)</f>
        <v/>
      </c>
      <c r="D210" s="5">
        <f>100*LN(LEVEL!D210)</f>
        <v/>
      </c>
      <c r="E210" s="5">
        <f>100*LN(LEVEL!E210)</f>
        <v/>
      </c>
      <c r="F210" s="5">
        <f>LEVEL!F210</f>
        <v/>
      </c>
      <c r="G210" s="5">
        <f>LEVEL!G210</f>
        <v/>
      </c>
      <c r="H210" s="5">
        <f>100*LN(LEVEL!H210)</f>
        <v/>
      </c>
      <c r="I210" s="5">
        <f>100*LN(LEVEL!I210)</f>
        <v/>
      </c>
      <c r="J210" s="5">
        <f>100*LN(LEVEL!J210)</f>
        <v/>
      </c>
      <c r="K210" s="5">
        <f>100*LN(LEVEL!K210)</f>
        <v/>
      </c>
      <c r="L210" s="5">
        <f>LEVEL!L210</f>
        <v/>
      </c>
      <c r="M210" s="5">
        <f>LEVEL!M210</f>
        <v/>
      </c>
      <c r="N210" s="5">
        <f>100*LN(LEVEL!N210)</f>
        <v/>
      </c>
      <c r="O210" s="5">
        <f>100*LN(LEVEL!O210)</f>
        <v/>
      </c>
      <c r="P210" s="6">
        <f>IF(AND(YEAR($A210)=2020,MONTH($A210)=3),1,0)</f>
        <v/>
      </c>
      <c r="Q210" s="6">
        <f>IF(AND(YEAR($A210)=2020,MONTH($A210)=4),1,0)</f>
        <v/>
      </c>
      <c r="R210" s="6">
        <f>IF(AND(YEAR($A210)=2020,MONTH($A210)=5),1,0)</f>
        <v/>
      </c>
      <c r="S210" s="6">
        <f>IF(AND(YEAR($A210)=2020,MONTH($A210)=6),1,0)</f>
        <v/>
      </c>
    </row>
    <row r="211">
      <c r="A211" s="3" t="n">
        <v>42887</v>
      </c>
      <c r="B211" s="4" t="inlineStr">
        <is>
          <t>2017m6</t>
        </is>
      </c>
      <c r="C211" s="5">
        <f>100*LN(LEVEL!C211)</f>
        <v/>
      </c>
      <c r="D211" s="5">
        <f>100*LN(LEVEL!D211)</f>
        <v/>
      </c>
      <c r="E211" s="5">
        <f>100*LN(LEVEL!E211)</f>
        <v/>
      </c>
      <c r="F211" s="5">
        <f>LEVEL!F211</f>
        <v/>
      </c>
      <c r="G211" s="5">
        <f>LEVEL!G211</f>
        <v/>
      </c>
      <c r="H211" s="5">
        <f>100*LN(LEVEL!H211)</f>
        <v/>
      </c>
      <c r="I211" s="5">
        <f>100*LN(LEVEL!I211)</f>
        <v/>
      </c>
      <c r="J211" s="5">
        <f>100*LN(LEVEL!J211)</f>
        <v/>
      </c>
      <c r="K211" s="5">
        <f>100*LN(LEVEL!K211)</f>
        <v/>
      </c>
      <c r="L211" s="5">
        <f>LEVEL!L211</f>
        <v/>
      </c>
      <c r="M211" s="5">
        <f>LEVEL!M211</f>
        <v/>
      </c>
      <c r="N211" s="5">
        <f>100*LN(LEVEL!N211)</f>
        <v/>
      </c>
      <c r="O211" s="5">
        <f>100*LN(LEVEL!O211)</f>
        <v/>
      </c>
      <c r="P211" s="6">
        <f>IF(AND(YEAR($A211)=2020,MONTH($A211)=3),1,0)</f>
        <v/>
      </c>
      <c r="Q211" s="6">
        <f>IF(AND(YEAR($A211)=2020,MONTH($A211)=4),1,0)</f>
        <v/>
      </c>
      <c r="R211" s="6">
        <f>IF(AND(YEAR($A211)=2020,MONTH($A211)=5),1,0)</f>
        <v/>
      </c>
      <c r="S211" s="6">
        <f>IF(AND(YEAR($A211)=2020,MONTH($A211)=6),1,0)</f>
        <v/>
      </c>
    </row>
    <row r="212">
      <c r="A212" s="3" t="n">
        <v>42917</v>
      </c>
      <c r="B212" s="4" t="inlineStr">
        <is>
          <t>2017m7</t>
        </is>
      </c>
      <c r="C212" s="5">
        <f>100*LN(LEVEL!C212)</f>
        <v/>
      </c>
      <c r="D212" s="5">
        <f>100*LN(LEVEL!D212)</f>
        <v/>
      </c>
      <c r="E212" s="5">
        <f>100*LN(LEVEL!E212)</f>
        <v/>
      </c>
      <c r="F212" s="5">
        <f>LEVEL!F212</f>
        <v/>
      </c>
      <c r="G212" s="5">
        <f>LEVEL!G212</f>
        <v/>
      </c>
      <c r="H212" s="5">
        <f>100*LN(LEVEL!H212)</f>
        <v/>
      </c>
      <c r="I212" s="5">
        <f>100*LN(LEVEL!I212)</f>
        <v/>
      </c>
      <c r="J212" s="5">
        <f>100*LN(LEVEL!J212)</f>
        <v/>
      </c>
      <c r="K212" s="5">
        <f>100*LN(LEVEL!K212)</f>
        <v/>
      </c>
      <c r="L212" s="5">
        <f>LEVEL!L212</f>
        <v/>
      </c>
      <c r="M212" s="5">
        <f>LEVEL!M212</f>
        <v/>
      </c>
      <c r="N212" s="5">
        <f>100*LN(LEVEL!N212)</f>
        <v/>
      </c>
      <c r="O212" s="5">
        <f>100*LN(LEVEL!O212)</f>
        <v/>
      </c>
      <c r="P212" s="6">
        <f>IF(AND(YEAR($A212)=2020,MONTH($A212)=3),1,0)</f>
        <v/>
      </c>
      <c r="Q212" s="6">
        <f>IF(AND(YEAR($A212)=2020,MONTH($A212)=4),1,0)</f>
        <v/>
      </c>
      <c r="R212" s="6">
        <f>IF(AND(YEAR($A212)=2020,MONTH($A212)=5),1,0)</f>
        <v/>
      </c>
      <c r="S212" s="6">
        <f>IF(AND(YEAR($A212)=2020,MONTH($A212)=6),1,0)</f>
        <v/>
      </c>
    </row>
    <row r="213">
      <c r="A213" s="3" t="n">
        <v>42948</v>
      </c>
      <c r="B213" s="4" t="inlineStr">
        <is>
          <t>2017m8</t>
        </is>
      </c>
      <c r="C213" s="5">
        <f>100*LN(LEVEL!C213)</f>
        <v/>
      </c>
      <c r="D213" s="5">
        <f>100*LN(LEVEL!D213)</f>
        <v/>
      </c>
      <c r="E213" s="5">
        <f>100*LN(LEVEL!E213)</f>
        <v/>
      </c>
      <c r="F213" s="5">
        <f>LEVEL!F213</f>
        <v/>
      </c>
      <c r="G213" s="5">
        <f>LEVEL!G213</f>
        <v/>
      </c>
      <c r="H213" s="5">
        <f>100*LN(LEVEL!H213)</f>
        <v/>
      </c>
      <c r="I213" s="5">
        <f>100*LN(LEVEL!I213)</f>
        <v/>
      </c>
      <c r="J213" s="5">
        <f>100*LN(LEVEL!J213)</f>
        <v/>
      </c>
      <c r="K213" s="5">
        <f>100*LN(LEVEL!K213)</f>
        <v/>
      </c>
      <c r="L213" s="5">
        <f>LEVEL!L213</f>
        <v/>
      </c>
      <c r="M213" s="5">
        <f>LEVEL!M213</f>
        <v/>
      </c>
      <c r="N213" s="5">
        <f>100*LN(LEVEL!N213)</f>
        <v/>
      </c>
      <c r="O213" s="5">
        <f>100*LN(LEVEL!O213)</f>
        <v/>
      </c>
      <c r="P213" s="6">
        <f>IF(AND(YEAR($A213)=2020,MONTH($A213)=3),1,0)</f>
        <v/>
      </c>
      <c r="Q213" s="6">
        <f>IF(AND(YEAR($A213)=2020,MONTH($A213)=4),1,0)</f>
        <v/>
      </c>
      <c r="R213" s="6">
        <f>IF(AND(YEAR($A213)=2020,MONTH($A213)=5),1,0)</f>
        <v/>
      </c>
      <c r="S213" s="6">
        <f>IF(AND(YEAR($A213)=2020,MONTH($A213)=6),1,0)</f>
        <v/>
      </c>
    </row>
    <row r="214">
      <c r="A214" s="3" t="n">
        <v>42979</v>
      </c>
      <c r="B214" s="4" t="inlineStr">
        <is>
          <t>2017m9</t>
        </is>
      </c>
      <c r="C214" s="5">
        <f>100*LN(LEVEL!C214)</f>
        <v/>
      </c>
      <c r="D214" s="5">
        <f>100*LN(LEVEL!D214)</f>
        <v/>
      </c>
      <c r="E214" s="5">
        <f>100*LN(LEVEL!E214)</f>
        <v/>
      </c>
      <c r="F214" s="5">
        <f>LEVEL!F214</f>
        <v/>
      </c>
      <c r="G214" s="5">
        <f>LEVEL!G214</f>
        <v/>
      </c>
      <c r="H214" s="5">
        <f>100*LN(LEVEL!H214)</f>
        <v/>
      </c>
      <c r="I214" s="5">
        <f>100*LN(LEVEL!I214)</f>
        <v/>
      </c>
      <c r="J214" s="5">
        <f>100*LN(LEVEL!J214)</f>
        <v/>
      </c>
      <c r="K214" s="5">
        <f>100*LN(LEVEL!K214)</f>
        <v/>
      </c>
      <c r="L214" s="5">
        <f>LEVEL!L214</f>
        <v/>
      </c>
      <c r="M214" s="5">
        <f>LEVEL!M214</f>
        <v/>
      </c>
      <c r="N214" s="5">
        <f>100*LN(LEVEL!N214)</f>
        <v/>
      </c>
      <c r="O214" s="5">
        <f>100*LN(LEVEL!O214)</f>
        <v/>
      </c>
      <c r="P214" s="6">
        <f>IF(AND(YEAR($A214)=2020,MONTH($A214)=3),1,0)</f>
        <v/>
      </c>
      <c r="Q214" s="6">
        <f>IF(AND(YEAR($A214)=2020,MONTH($A214)=4),1,0)</f>
        <v/>
      </c>
      <c r="R214" s="6">
        <f>IF(AND(YEAR($A214)=2020,MONTH($A214)=5),1,0)</f>
        <v/>
      </c>
      <c r="S214" s="6">
        <f>IF(AND(YEAR($A214)=2020,MONTH($A214)=6),1,0)</f>
        <v/>
      </c>
    </row>
    <row r="215">
      <c r="A215" s="3" t="n">
        <v>43009</v>
      </c>
      <c r="B215" s="4" t="inlineStr">
        <is>
          <t>2017m10</t>
        </is>
      </c>
      <c r="C215" s="5">
        <f>100*LN(LEVEL!C215)</f>
        <v/>
      </c>
      <c r="D215" s="5">
        <f>100*LN(LEVEL!D215)</f>
        <v/>
      </c>
      <c r="E215" s="5">
        <f>100*LN(LEVEL!E215)</f>
        <v/>
      </c>
      <c r="F215" s="5">
        <f>LEVEL!F215</f>
        <v/>
      </c>
      <c r="G215" s="5">
        <f>LEVEL!G215</f>
        <v/>
      </c>
      <c r="H215" s="5">
        <f>100*LN(LEVEL!H215)</f>
        <v/>
      </c>
      <c r="I215" s="5">
        <f>100*LN(LEVEL!I215)</f>
        <v/>
      </c>
      <c r="J215" s="5">
        <f>100*LN(LEVEL!J215)</f>
        <v/>
      </c>
      <c r="K215" s="5">
        <f>100*LN(LEVEL!K215)</f>
        <v/>
      </c>
      <c r="L215" s="5">
        <f>LEVEL!L215</f>
        <v/>
      </c>
      <c r="M215" s="5">
        <f>LEVEL!M215</f>
        <v/>
      </c>
      <c r="N215" s="5">
        <f>100*LN(LEVEL!N215)</f>
        <v/>
      </c>
      <c r="O215" s="5">
        <f>100*LN(LEVEL!O215)</f>
        <v/>
      </c>
      <c r="P215" s="6">
        <f>IF(AND(YEAR($A215)=2020,MONTH($A215)=3),1,0)</f>
        <v/>
      </c>
      <c r="Q215" s="6">
        <f>IF(AND(YEAR($A215)=2020,MONTH($A215)=4),1,0)</f>
        <v/>
      </c>
      <c r="R215" s="6">
        <f>IF(AND(YEAR($A215)=2020,MONTH($A215)=5),1,0)</f>
        <v/>
      </c>
      <c r="S215" s="6">
        <f>IF(AND(YEAR($A215)=2020,MONTH($A215)=6),1,0)</f>
        <v/>
      </c>
    </row>
    <row r="216">
      <c r="A216" s="3" t="n">
        <v>43040</v>
      </c>
      <c r="B216" s="4" t="inlineStr">
        <is>
          <t>2017m11</t>
        </is>
      </c>
      <c r="C216" s="5">
        <f>100*LN(LEVEL!C216)</f>
        <v/>
      </c>
      <c r="D216" s="5">
        <f>100*LN(LEVEL!D216)</f>
        <v/>
      </c>
      <c r="E216" s="5">
        <f>100*LN(LEVEL!E216)</f>
        <v/>
      </c>
      <c r="F216" s="5">
        <f>LEVEL!F216</f>
        <v/>
      </c>
      <c r="G216" s="5">
        <f>LEVEL!G216</f>
        <v/>
      </c>
      <c r="H216" s="5">
        <f>100*LN(LEVEL!H216)</f>
        <v/>
      </c>
      <c r="I216" s="5">
        <f>100*LN(LEVEL!I216)</f>
        <v/>
      </c>
      <c r="J216" s="5">
        <f>100*LN(LEVEL!J216)</f>
        <v/>
      </c>
      <c r="K216" s="5">
        <f>100*LN(LEVEL!K216)</f>
        <v/>
      </c>
      <c r="L216" s="5">
        <f>LEVEL!L216</f>
        <v/>
      </c>
      <c r="M216" s="5">
        <f>LEVEL!M216</f>
        <v/>
      </c>
      <c r="N216" s="5">
        <f>100*LN(LEVEL!N216)</f>
        <v/>
      </c>
      <c r="O216" s="5">
        <f>100*LN(LEVEL!O216)</f>
        <v/>
      </c>
      <c r="P216" s="6">
        <f>IF(AND(YEAR($A216)=2020,MONTH($A216)=3),1,0)</f>
        <v/>
      </c>
      <c r="Q216" s="6">
        <f>IF(AND(YEAR($A216)=2020,MONTH($A216)=4),1,0)</f>
        <v/>
      </c>
      <c r="R216" s="6">
        <f>IF(AND(YEAR($A216)=2020,MONTH($A216)=5),1,0)</f>
        <v/>
      </c>
      <c r="S216" s="6">
        <f>IF(AND(YEAR($A216)=2020,MONTH($A216)=6),1,0)</f>
        <v/>
      </c>
    </row>
    <row r="217">
      <c r="A217" s="3" t="n">
        <v>43070</v>
      </c>
      <c r="B217" s="4" t="inlineStr">
        <is>
          <t>2017m12</t>
        </is>
      </c>
      <c r="C217" s="5">
        <f>100*LN(LEVEL!C217)</f>
        <v/>
      </c>
      <c r="D217" s="5">
        <f>100*LN(LEVEL!D217)</f>
        <v/>
      </c>
      <c r="E217" s="5">
        <f>100*LN(LEVEL!E217)</f>
        <v/>
      </c>
      <c r="F217" s="5">
        <f>LEVEL!F217</f>
        <v/>
      </c>
      <c r="G217" s="5">
        <f>LEVEL!G217</f>
        <v/>
      </c>
      <c r="H217" s="5">
        <f>100*LN(LEVEL!H217)</f>
        <v/>
      </c>
      <c r="I217" s="5">
        <f>100*LN(LEVEL!I217)</f>
        <v/>
      </c>
      <c r="J217" s="5">
        <f>100*LN(LEVEL!J217)</f>
        <v/>
      </c>
      <c r="K217" s="5">
        <f>100*LN(LEVEL!K217)</f>
        <v/>
      </c>
      <c r="L217" s="5">
        <f>LEVEL!L217</f>
        <v/>
      </c>
      <c r="M217" s="5">
        <f>LEVEL!M217</f>
        <v/>
      </c>
      <c r="N217" s="5">
        <f>100*LN(LEVEL!N217)</f>
        <v/>
      </c>
      <c r="O217" s="5">
        <f>100*LN(LEVEL!O217)</f>
        <v/>
      </c>
      <c r="P217" s="6">
        <f>IF(AND(YEAR($A217)=2020,MONTH($A217)=3),1,0)</f>
        <v/>
      </c>
      <c r="Q217" s="6">
        <f>IF(AND(YEAR($A217)=2020,MONTH($A217)=4),1,0)</f>
        <v/>
      </c>
      <c r="R217" s="6">
        <f>IF(AND(YEAR($A217)=2020,MONTH($A217)=5),1,0)</f>
        <v/>
      </c>
      <c r="S217" s="6">
        <f>IF(AND(YEAR($A217)=2020,MONTH($A217)=6),1,0)</f>
        <v/>
      </c>
    </row>
    <row r="218">
      <c r="A218" s="3" t="n">
        <v>43101</v>
      </c>
      <c r="B218" s="4" t="inlineStr">
        <is>
          <t>2018m1</t>
        </is>
      </c>
      <c r="C218" s="5">
        <f>100*LN(LEVEL!C218)</f>
        <v/>
      </c>
      <c r="D218" s="5">
        <f>100*LN(LEVEL!D218)</f>
        <v/>
      </c>
      <c r="E218" s="5">
        <f>100*LN(LEVEL!E218)</f>
        <v/>
      </c>
      <c r="F218" s="5">
        <f>LEVEL!F218</f>
        <v/>
      </c>
      <c r="G218" s="5">
        <f>LEVEL!G218</f>
        <v/>
      </c>
      <c r="H218" s="5">
        <f>100*LN(LEVEL!H218)</f>
        <v/>
      </c>
      <c r="I218" s="5">
        <f>100*LN(LEVEL!I218)</f>
        <v/>
      </c>
      <c r="J218" s="5">
        <f>100*LN(LEVEL!J218)</f>
        <v/>
      </c>
      <c r="K218" s="5">
        <f>100*LN(LEVEL!K218)</f>
        <v/>
      </c>
      <c r="L218" s="5">
        <f>LEVEL!L218</f>
        <v/>
      </c>
      <c r="M218" s="5">
        <f>LEVEL!M218</f>
        <v/>
      </c>
      <c r="N218" s="5">
        <f>100*LN(LEVEL!N218)</f>
        <v/>
      </c>
      <c r="O218" s="5">
        <f>100*LN(LEVEL!O218)</f>
        <v/>
      </c>
      <c r="P218" s="6">
        <f>IF(AND(YEAR($A218)=2020,MONTH($A218)=3),1,0)</f>
        <v/>
      </c>
      <c r="Q218" s="6">
        <f>IF(AND(YEAR($A218)=2020,MONTH($A218)=4),1,0)</f>
        <v/>
      </c>
      <c r="R218" s="6">
        <f>IF(AND(YEAR($A218)=2020,MONTH($A218)=5),1,0)</f>
        <v/>
      </c>
      <c r="S218" s="6">
        <f>IF(AND(YEAR($A218)=2020,MONTH($A218)=6),1,0)</f>
        <v/>
      </c>
    </row>
    <row r="219">
      <c r="A219" s="3" t="n">
        <v>43132</v>
      </c>
      <c r="B219" s="4" t="inlineStr">
        <is>
          <t>2018m2</t>
        </is>
      </c>
      <c r="C219" s="5">
        <f>100*LN(LEVEL!C219)</f>
        <v/>
      </c>
      <c r="D219" s="5">
        <f>100*LN(LEVEL!D219)</f>
        <v/>
      </c>
      <c r="E219" s="5">
        <f>100*LN(LEVEL!E219)</f>
        <v/>
      </c>
      <c r="F219" s="5">
        <f>LEVEL!F219</f>
        <v/>
      </c>
      <c r="G219" s="5">
        <f>LEVEL!G219</f>
        <v/>
      </c>
      <c r="H219" s="5">
        <f>100*LN(LEVEL!H219)</f>
        <v/>
      </c>
      <c r="I219" s="5">
        <f>100*LN(LEVEL!I219)</f>
        <v/>
      </c>
      <c r="J219" s="5">
        <f>100*LN(LEVEL!J219)</f>
        <v/>
      </c>
      <c r="K219" s="5">
        <f>100*LN(LEVEL!K219)</f>
        <v/>
      </c>
      <c r="L219" s="5">
        <f>LEVEL!L219</f>
        <v/>
      </c>
      <c r="M219" s="5">
        <f>LEVEL!M219</f>
        <v/>
      </c>
      <c r="N219" s="5">
        <f>100*LN(LEVEL!N219)</f>
        <v/>
      </c>
      <c r="O219" s="5">
        <f>100*LN(LEVEL!O219)</f>
        <v/>
      </c>
      <c r="P219" s="6">
        <f>IF(AND(YEAR($A219)=2020,MONTH($A219)=3),1,0)</f>
        <v/>
      </c>
      <c r="Q219" s="6">
        <f>IF(AND(YEAR($A219)=2020,MONTH($A219)=4),1,0)</f>
        <v/>
      </c>
      <c r="R219" s="6">
        <f>IF(AND(YEAR($A219)=2020,MONTH($A219)=5),1,0)</f>
        <v/>
      </c>
      <c r="S219" s="6">
        <f>IF(AND(YEAR($A219)=2020,MONTH($A219)=6),1,0)</f>
        <v/>
      </c>
    </row>
    <row r="220">
      <c r="A220" s="3" t="n">
        <v>43160</v>
      </c>
      <c r="B220" s="4" t="inlineStr">
        <is>
          <t>2018m3</t>
        </is>
      </c>
      <c r="C220" s="5">
        <f>100*LN(LEVEL!C220)</f>
        <v/>
      </c>
      <c r="D220" s="5">
        <f>100*LN(LEVEL!D220)</f>
        <v/>
      </c>
      <c r="E220" s="5">
        <f>100*LN(LEVEL!E220)</f>
        <v/>
      </c>
      <c r="F220" s="5">
        <f>LEVEL!F220</f>
        <v/>
      </c>
      <c r="G220" s="5">
        <f>LEVEL!G220</f>
        <v/>
      </c>
      <c r="H220" s="5">
        <f>100*LN(LEVEL!H220)</f>
        <v/>
      </c>
      <c r="I220" s="5">
        <f>100*LN(LEVEL!I220)</f>
        <v/>
      </c>
      <c r="J220" s="5">
        <f>100*LN(LEVEL!J220)</f>
        <v/>
      </c>
      <c r="K220" s="5">
        <f>100*LN(LEVEL!K220)</f>
        <v/>
      </c>
      <c r="L220" s="5">
        <f>LEVEL!L220</f>
        <v/>
      </c>
      <c r="M220" s="5">
        <f>LEVEL!M220</f>
        <v/>
      </c>
      <c r="N220" s="5">
        <f>100*LN(LEVEL!N220)</f>
        <v/>
      </c>
      <c r="O220" s="5">
        <f>100*LN(LEVEL!O220)</f>
        <v/>
      </c>
      <c r="P220" s="6">
        <f>IF(AND(YEAR($A220)=2020,MONTH($A220)=3),1,0)</f>
        <v/>
      </c>
      <c r="Q220" s="6">
        <f>IF(AND(YEAR($A220)=2020,MONTH($A220)=4),1,0)</f>
        <v/>
      </c>
      <c r="R220" s="6">
        <f>IF(AND(YEAR($A220)=2020,MONTH($A220)=5),1,0)</f>
        <v/>
      </c>
      <c r="S220" s="6">
        <f>IF(AND(YEAR($A220)=2020,MONTH($A220)=6),1,0)</f>
        <v/>
      </c>
    </row>
    <row r="221">
      <c r="A221" s="3" t="n">
        <v>43191</v>
      </c>
      <c r="B221" s="4" t="inlineStr">
        <is>
          <t>2018m4</t>
        </is>
      </c>
      <c r="C221" s="5">
        <f>100*LN(LEVEL!C221)</f>
        <v/>
      </c>
      <c r="D221" s="5">
        <f>100*LN(LEVEL!D221)</f>
        <v/>
      </c>
      <c r="E221" s="5">
        <f>100*LN(LEVEL!E221)</f>
        <v/>
      </c>
      <c r="F221" s="5">
        <f>LEVEL!F221</f>
        <v/>
      </c>
      <c r="G221" s="5">
        <f>LEVEL!G221</f>
        <v/>
      </c>
      <c r="H221" s="5">
        <f>100*LN(LEVEL!H221)</f>
        <v/>
      </c>
      <c r="I221" s="5">
        <f>100*LN(LEVEL!I221)</f>
        <v/>
      </c>
      <c r="J221" s="5">
        <f>100*LN(LEVEL!J221)</f>
        <v/>
      </c>
      <c r="K221" s="5">
        <f>100*LN(LEVEL!K221)</f>
        <v/>
      </c>
      <c r="L221" s="5">
        <f>LEVEL!L221</f>
        <v/>
      </c>
      <c r="M221" s="5">
        <f>LEVEL!M221</f>
        <v/>
      </c>
      <c r="N221" s="5">
        <f>100*LN(LEVEL!N221)</f>
        <v/>
      </c>
      <c r="O221" s="5">
        <f>100*LN(LEVEL!O221)</f>
        <v/>
      </c>
      <c r="P221" s="6">
        <f>IF(AND(YEAR($A221)=2020,MONTH($A221)=3),1,0)</f>
        <v/>
      </c>
      <c r="Q221" s="6">
        <f>IF(AND(YEAR($A221)=2020,MONTH($A221)=4),1,0)</f>
        <v/>
      </c>
      <c r="R221" s="6">
        <f>IF(AND(YEAR($A221)=2020,MONTH($A221)=5),1,0)</f>
        <v/>
      </c>
      <c r="S221" s="6">
        <f>IF(AND(YEAR($A221)=2020,MONTH($A221)=6),1,0)</f>
        <v/>
      </c>
    </row>
    <row r="222">
      <c r="A222" s="3" t="n">
        <v>43221</v>
      </c>
      <c r="B222" s="4" t="inlineStr">
        <is>
          <t>2018m5</t>
        </is>
      </c>
      <c r="C222" s="5">
        <f>100*LN(LEVEL!C222)</f>
        <v/>
      </c>
      <c r="D222" s="5">
        <f>100*LN(LEVEL!D222)</f>
        <v/>
      </c>
      <c r="E222" s="5">
        <f>100*LN(LEVEL!E222)</f>
        <v/>
      </c>
      <c r="F222" s="5">
        <f>LEVEL!F222</f>
        <v/>
      </c>
      <c r="G222" s="5">
        <f>LEVEL!G222</f>
        <v/>
      </c>
      <c r="H222" s="5">
        <f>100*LN(LEVEL!H222)</f>
        <v/>
      </c>
      <c r="I222" s="5">
        <f>100*LN(LEVEL!I222)</f>
        <v/>
      </c>
      <c r="J222" s="5">
        <f>100*LN(LEVEL!J222)</f>
        <v/>
      </c>
      <c r="K222" s="5">
        <f>100*LN(LEVEL!K222)</f>
        <v/>
      </c>
      <c r="L222" s="5">
        <f>LEVEL!L222</f>
        <v/>
      </c>
      <c r="M222" s="5">
        <f>LEVEL!M222</f>
        <v/>
      </c>
      <c r="N222" s="5">
        <f>100*LN(LEVEL!N222)</f>
        <v/>
      </c>
      <c r="O222" s="5">
        <f>100*LN(LEVEL!O222)</f>
        <v/>
      </c>
      <c r="P222" s="6">
        <f>IF(AND(YEAR($A222)=2020,MONTH($A222)=3),1,0)</f>
        <v/>
      </c>
      <c r="Q222" s="6">
        <f>IF(AND(YEAR($A222)=2020,MONTH($A222)=4),1,0)</f>
        <v/>
      </c>
      <c r="R222" s="6">
        <f>IF(AND(YEAR($A222)=2020,MONTH($A222)=5),1,0)</f>
        <v/>
      </c>
      <c r="S222" s="6">
        <f>IF(AND(YEAR($A222)=2020,MONTH($A222)=6),1,0)</f>
        <v/>
      </c>
    </row>
    <row r="223">
      <c r="A223" s="3" t="n">
        <v>43252</v>
      </c>
      <c r="B223" s="4" t="inlineStr">
        <is>
          <t>2018m6</t>
        </is>
      </c>
      <c r="C223" s="5">
        <f>100*LN(LEVEL!C223)</f>
        <v/>
      </c>
      <c r="D223" s="5">
        <f>100*LN(LEVEL!D223)</f>
        <v/>
      </c>
      <c r="E223" s="5">
        <f>100*LN(LEVEL!E223)</f>
        <v/>
      </c>
      <c r="F223" s="5">
        <f>LEVEL!F223</f>
        <v/>
      </c>
      <c r="G223" s="5">
        <f>LEVEL!G223</f>
        <v/>
      </c>
      <c r="H223" s="5">
        <f>100*LN(LEVEL!H223)</f>
        <v/>
      </c>
      <c r="I223" s="5">
        <f>100*LN(LEVEL!I223)</f>
        <v/>
      </c>
      <c r="J223" s="5">
        <f>100*LN(LEVEL!J223)</f>
        <v/>
      </c>
      <c r="K223" s="5">
        <f>100*LN(LEVEL!K223)</f>
        <v/>
      </c>
      <c r="L223" s="5">
        <f>LEVEL!L223</f>
        <v/>
      </c>
      <c r="M223" s="5">
        <f>LEVEL!M223</f>
        <v/>
      </c>
      <c r="N223" s="5">
        <f>100*LN(LEVEL!N223)</f>
        <v/>
      </c>
      <c r="O223" s="5">
        <f>100*LN(LEVEL!O223)</f>
        <v/>
      </c>
      <c r="P223" s="6">
        <f>IF(AND(YEAR($A223)=2020,MONTH($A223)=3),1,0)</f>
        <v/>
      </c>
      <c r="Q223" s="6">
        <f>IF(AND(YEAR($A223)=2020,MONTH($A223)=4),1,0)</f>
        <v/>
      </c>
      <c r="R223" s="6">
        <f>IF(AND(YEAR($A223)=2020,MONTH($A223)=5),1,0)</f>
        <v/>
      </c>
      <c r="S223" s="6">
        <f>IF(AND(YEAR($A223)=2020,MONTH($A223)=6),1,0)</f>
        <v/>
      </c>
    </row>
    <row r="224">
      <c r="A224" s="3" t="n">
        <v>43282</v>
      </c>
      <c r="B224" s="4" t="inlineStr">
        <is>
          <t>2018m7</t>
        </is>
      </c>
      <c r="C224" s="5">
        <f>100*LN(LEVEL!C224)</f>
        <v/>
      </c>
      <c r="D224" s="5">
        <f>100*LN(LEVEL!D224)</f>
        <v/>
      </c>
      <c r="E224" s="5">
        <f>100*LN(LEVEL!E224)</f>
        <v/>
      </c>
      <c r="F224" s="5">
        <f>LEVEL!F224</f>
        <v/>
      </c>
      <c r="G224" s="5">
        <f>LEVEL!G224</f>
        <v/>
      </c>
      <c r="H224" s="5">
        <f>100*LN(LEVEL!H224)</f>
        <v/>
      </c>
      <c r="I224" s="5">
        <f>100*LN(LEVEL!I224)</f>
        <v/>
      </c>
      <c r="J224" s="5">
        <f>100*LN(LEVEL!J224)</f>
        <v/>
      </c>
      <c r="K224" s="5">
        <f>100*LN(LEVEL!K224)</f>
        <v/>
      </c>
      <c r="L224" s="5">
        <f>LEVEL!L224</f>
        <v/>
      </c>
      <c r="M224" s="5">
        <f>LEVEL!M224</f>
        <v/>
      </c>
      <c r="N224" s="5">
        <f>100*LN(LEVEL!N224)</f>
        <v/>
      </c>
      <c r="O224" s="5">
        <f>100*LN(LEVEL!O224)</f>
        <v/>
      </c>
      <c r="P224" s="6">
        <f>IF(AND(YEAR($A224)=2020,MONTH($A224)=3),1,0)</f>
        <v/>
      </c>
      <c r="Q224" s="6">
        <f>IF(AND(YEAR($A224)=2020,MONTH($A224)=4),1,0)</f>
        <v/>
      </c>
      <c r="R224" s="6">
        <f>IF(AND(YEAR($A224)=2020,MONTH($A224)=5),1,0)</f>
        <v/>
      </c>
      <c r="S224" s="6">
        <f>IF(AND(YEAR($A224)=2020,MONTH($A224)=6),1,0)</f>
        <v/>
      </c>
    </row>
    <row r="225">
      <c r="A225" s="3" t="n">
        <v>43313</v>
      </c>
      <c r="B225" s="4" t="inlineStr">
        <is>
          <t>2018m8</t>
        </is>
      </c>
      <c r="C225" s="5">
        <f>100*LN(LEVEL!C225)</f>
        <v/>
      </c>
      <c r="D225" s="5">
        <f>100*LN(LEVEL!D225)</f>
        <v/>
      </c>
      <c r="E225" s="5">
        <f>100*LN(LEVEL!E225)</f>
        <v/>
      </c>
      <c r="F225" s="5">
        <f>LEVEL!F225</f>
        <v/>
      </c>
      <c r="G225" s="5">
        <f>LEVEL!G225</f>
        <v/>
      </c>
      <c r="H225" s="5">
        <f>100*LN(LEVEL!H225)</f>
        <v/>
      </c>
      <c r="I225" s="5">
        <f>100*LN(LEVEL!I225)</f>
        <v/>
      </c>
      <c r="J225" s="5">
        <f>100*LN(LEVEL!J225)</f>
        <v/>
      </c>
      <c r="K225" s="5">
        <f>100*LN(LEVEL!K225)</f>
        <v/>
      </c>
      <c r="L225" s="5">
        <f>LEVEL!L225</f>
        <v/>
      </c>
      <c r="M225" s="5">
        <f>LEVEL!M225</f>
        <v/>
      </c>
      <c r="N225" s="5">
        <f>100*LN(LEVEL!N225)</f>
        <v/>
      </c>
      <c r="O225" s="5">
        <f>100*LN(LEVEL!O225)</f>
        <v/>
      </c>
      <c r="P225" s="6">
        <f>IF(AND(YEAR($A225)=2020,MONTH($A225)=3),1,0)</f>
        <v/>
      </c>
      <c r="Q225" s="6">
        <f>IF(AND(YEAR($A225)=2020,MONTH($A225)=4),1,0)</f>
        <v/>
      </c>
      <c r="R225" s="6">
        <f>IF(AND(YEAR($A225)=2020,MONTH($A225)=5),1,0)</f>
        <v/>
      </c>
      <c r="S225" s="6">
        <f>IF(AND(YEAR($A225)=2020,MONTH($A225)=6),1,0)</f>
        <v/>
      </c>
    </row>
    <row r="226">
      <c r="A226" s="3" t="n">
        <v>43344</v>
      </c>
      <c r="B226" s="4" t="inlineStr">
        <is>
          <t>2018m9</t>
        </is>
      </c>
      <c r="C226" s="5">
        <f>100*LN(LEVEL!C226)</f>
        <v/>
      </c>
      <c r="D226" s="5">
        <f>100*LN(LEVEL!D226)</f>
        <v/>
      </c>
      <c r="E226" s="5">
        <f>100*LN(LEVEL!E226)</f>
        <v/>
      </c>
      <c r="F226" s="5">
        <f>LEVEL!F226</f>
        <v/>
      </c>
      <c r="G226" s="5">
        <f>LEVEL!G226</f>
        <v/>
      </c>
      <c r="H226" s="5">
        <f>100*LN(LEVEL!H226)</f>
        <v/>
      </c>
      <c r="I226" s="5">
        <f>100*LN(LEVEL!I226)</f>
        <v/>
      </c>
      <c r="J226" s="5">
        <f>100*LN(LEVEL!J226)</f>
        <v/>
      </c>
      <c r="K226" s="5">
        <f>100*LN(LEVEL!K226)</f>
        <v/>
      </c>
      <c r="L226" s="5">
        <f>LEVEL!L226</f>
        <v/>
      </c>
      <c r="M226" s="5">
        <f>LEVEL!M226</f>
        <v/>
      </c>
      <c r="N226" s="5">
        <f>100*LN(LEVEL!N226)</f>
        <v/>
      </c>
      <c r="O226" s="5">
        <f>100*LN(LEVEL!O226)</f>
        <v/>
      </c>
      <c r="P226" s="6">
        <f>IF(AND(YEAR($A226)=2020,MONTH($A226)=3),1,0)</f>
        <v/>
      </c>
      <c r="Q226" s="6">
        <f>IF(AND(YEAR($A226)=2020,MONTH($A226)=4),1,0)</f>
        <v/>
      </c>
      <c r="R226" s="6">
        <f>IF(AND(YEAR($A226)=2020,MONTH($A226)=5),1,0)</f>
        <v/>
      </c>
      <c r="S226" s="6">
        <f>IF(AND(YEAR($A226)=2020,MONTH($A226)=6),1,0)</f>
        <v/>
      </c>
    </row>
    <row r="227">
      <c r="A227" s="3" t="n">
        <v>43374</v>
      </c>
      <c r="B227" s="4" t="inlineStr">
        <is>
          <t>2018m10</t>
        </is>
      </c>
      <c r="C227" s="5">
        <f>100*LN(LEVEL!C227)</f>
        <v/>
      </c>
      <c r="D227" s="5">
        <f>100*LN(LEVEL!D227)</f>
        <v/>
      </c>
      <c r="E227" s="5">
        <f>100*LN(LEVEL!E227)</f>
        <v/>
      </c>
      <c r="F227" s="5">
        <f>LEVEL!F227</f>
        <v/>
      </c>
      <c r="G227" s="5">
        <f>LEVEL!G227</f>
        <v/>
      </c>
      <c r="H227" s="5">
        <f>100*LN(LEVEL!H227)</f>
        <v/>
      </c>
      <c r="I227" s="5">
        <f>100*LN(LEVEL!I227)</f>
        <v/>
      </c>
      <c r="J227" s="5">
        <f>100*LN(LEVEL!J227)</f>
        <v/>
      </c>
      <c r="K227" s="5">
        <f>100*LN(LEVEL!K227)</f>
        <v/>
      </c>
      <c r="L227" s="5">
        <f>LEVEL!L227</f>
        <v/>
      </c>
      <c r="M227" s="5">
        <f>LEVEL!M227</f>
        <v/>
      </c>
      <c r="N227" s="5">
        <f>100*LN(LEVEL!N227)</f>
        <v/>
      </c>
      <c r="O227" s="5">
        <f>100*LN(LEVEL!O227)</f>
        <v/>
      </c>
      <c r="P227" s="6">
        <f>IF(AND(YEAR($A227)=2020,MONTH($A227)=3),1,0)</f>
        <v/>
      </c>
      <c r="Q227" s="6">
        <f>IF(AND(YEAR($A227)=2020,MONTH($A227)=4),1,0)</f>
        <v/>
      </c>
      <c r="R227" s="6">
        <f>IF(AND(YEAR($A227)=2020,MONTH($A227)=5),1,0)</f>
        <v/>
      </c>
      <c r="S227" s="6">
        <f>IF(AND(YEAR($A227)=2020,MONTH($A227)=6),1,0)</f>
        <v/>
      </c>
    </row>
    <row r="228">
      <c r="A228" s="3" t="n">
        <v>43405</v>
      </c>
      <c r="B228" s="4" t="inlineStr">
        <is>
          <t>2018m11</t>
        </is>
      </c>
      <c r="C228" s="5">
        <f>100*LN(LEVEL!C228)</f>
        <v/>
      </c>
      <c r="D228" s="5">
        <f>100*LN(LEVEL!D228)</f>
        <v/>
      </c>
      <c r="E228" s="5">
        <f>100*LN(LEVEL!E228)</f>
        <v/>
      </c>
      <c r="F228" s="5">
        <f>LEVEL!F228</f>
        <v/>
      </c>
      <c r="G228" s="5">
        <f>LEVEL!G228</f>
        <v/>
      </c>
      <c r="H228" s="5">
        <f>100*LN(LEVEL!H228)</f>
        <v/>
      </c>
      <c r="I228" s="5">
        <f>100*LN(LEVEL!I228)</f>
        <v/>
      </c>
      <c r="J228" s="5">
        <f>100*LN(LEVEL!J228)</f>
        <v/>
      </c>
      <c r="K228" s="5">
        <f>100*LN(LEVEL!K228)</f>
        <v/>
      </c>
      <c r="L228" s="5">
        <f>LEVEL!L228</f>
        <v/>
      </c>
      <c r="M228" s="5">
        <f>LEVEL!M228</f>
        <v/>
      </c>
      <c r="N228" s="5">
        <f>100*LN(LEVEL!N228)</f>
        <v/>
      </c>
      <c r="O228" s="5">
        <f>100*LN(LEVEL!O228)</f>
        <v/>
      </c>
      <c r="P228" s="6">
        <f>IF(AND(YEAR($A228)=2020,MONTH($A228)=3),1,0)</f>
        <v/>
      </c>
      <c r="Q228" s="6">
        <f>IF(AND(YEAR($A228)=2020,MONTH($A228)=4),1,0)</f>
        <v/>
      </c>
      <c r="R228" s="6">
        <f>IF(AND(YEAR($A228)=2020,MONTH($A228)=5),1,0)</f>
        <v/>
      </c>
      <c r="S228" s="6">
        <f>IF(AND(YEAR($A228)=2020,MONTH($A228)=6),1,0)</f>
        <v/>
      </c>
    </row>
    <row r="229">
      <c r="A229" s="3" t="n">
        <v>43435</v>
      </c>
      <c r="B229" s="4" t="inlineStr">
        <is>
          <t>2018m12</t>
        </is>
      </c>
      <c r="C229" s="5">
        <f>100*LN(LEVEL!C229)</f>
        <v/>
      </c>
      <c r="D229" s="5">
        <f>100*LN(LEVEL!D229)</f>
        <v/>
      </c>
      <c r="E229" s="5">
        <f>100*LN(LEVEL!E229)</f>
        <v/>
      </c>
      <c r="F229" s="5">
        <f>LEVEL!F229</f>
        <v/>
      </c>
      <c r="G229" s="5">
        <f>LEVEL!G229</f>
        <v/>
      </c>
      <c r="H229" s="5">
        <f>100*LN(LEVEL!H229)</f>
        <v/>
      </c>
      <c r="I229" s="5">
        <f>100*LN(LEVEL!I229)</f>
        <v/>
      </c>
      <c r="J229" s="5">
        <f>100*LN(LEVEL!J229)</f>
        <v/>
      </c>
      <c r="K229" s="5">
        <f>100*LN(LEVEL!K229)</f>
        <v/>
      </c>
      <c r="L229" s="5">
        <f>LEVEL!L229</f>
        <v/>
      </c>
      <c r="M229" s="5">
        <f>LEVEL!M229</f>
        <v/>
      </c>
      <c r="N229" s="5">
        <f>100*LN(LEVEL!N229)</f>
        <v/>
      </c>
      <c r="O229" s="5">
        <f>100*LN(LEVEL!O229)</f>
        <v/>
      </c>
      <c r="P229" s="6">
        <f>IF(AND(YEAR($A229)=2020,MONTH($A229)=3),1,0)</f>
        <v/>
      </c>
      <c r="Q229" s="6">
        <f>IF(AND(YEAR($A229)=2020,MONTH($A229)=4),1,0)</f>
        <v/>
      </c>
      <c r="R229" s="6">
        <f>IF(AND(YEAR($A229)=2020,MONTH($A229)=5),1,0)</f>
        <v/>
      </c>
      <c r="S229" s="6">
        <f>IF(AND(YEAR($A229)=2020,MONTH($A229)=6),1,0)</f>
        <v/>
      </c>
    </row>
    <row r="230">
      <c r="A230" s="3" t="n">
        <v>43466</v>
      </c>
      <c r="B230" s="4" t="inlineStr">
        <is>
          <t>2019m1</t>
        </is>
      </c>
      <c r="C230" s="5">
        <f>100*LN(LEVEL!C230)</f>
        <v/>
      </c>
      <c r="D230" s="5">
        <f>100*LN(LEVEL!D230)</f>
        <v/>
      </c>
      <c r="E230" s="5">
        <f>100*LN(LEVEL!E230)</f>
        <v/>
      </c>
      <c r="F230" s="5">
        <f>LEVEL!F230</f>
        <v/>
      </c>
      <c r="G230" s="5">
        <f>LEVEL!G230</f>
        <v/>
      </c>
      <c r="H230" s="5">
        <f>100*LN(LEVEL!H230)</f>
        <v/>
      </c>
      <c r="I230" s="5">
        <f>100*LN(LEVEL!I230)</f>
        <v/>
      </c>
      <c r="J230" s="5">
        <f>100*LN(LEVEL!J230)</f>
        <v/>
      </c>
      <c r="K230" s="5">
        <f>100*LN(LEVEL!K230)</f>
        <v/>
      </c>
      <c r="L230" s="5">
        <f>LEVEL!L230</f>
        <v/>
      </c>
      <c r="M230" s="5">
        <f>LEVEL!M230</f>
        <v/>
      </c>
      <c r="N230" s="5">
        <f>100*LN(LEVEL!N230)</f>
        <v/>
      </c>
      <c r="O230" s="5">
        <f>100*LN(LEVEL!O230)</f>
        <v/>
      </c>
      <c r="P230" s="6">
        <f>IF(AND(YEAR($A230)=2020,MONTH($A230)=3),1,0)</f>
        <v/>
      </c>
      <c r="Q230" s="6">
        <f>IF(AND(YEAR($A230)=2020,MONTH($A230)=4),1,0)</f>
        <v/>
      </c>
      <c r="R230" s="6">
        <f>IF(AND(YEAR($A230)=2020,MONTH($A230)=5),1,0)</f>
        <v/>
      </c>
      <c r="S230" s="6">
        <f>IF(AND(YEAR($A230)=2020,MONTH($A230)=6),1,0)</f>
        <v/>
      </c>
    </row>
    <row r="231">
      <c r="A231" s="3" t="n">
        <v>43497</v>
      </c>
      <c r="B231" s="4" t="inlineStr">
        <is>
          <t>2019m2</t>
        </is>
      </c>
      <c r="C231" s="5">
        <f>100*LN(LEVEL!C231)</f>
        <v/>
      </c>
      <c r="D231" s="5">
        <f>100*LN(LEVEL!D231)</f>
        <v/>
      </c>
      <c r="E231" s="5">
        <f>100*LN(LEVEL!E231)</f>
        <v/>
      </c>
      <c r="F231" s="5">
        <f>LEVEL!F231</f>
        <v/>
      </c>
      <c r="G231" s="5">
        <f>LEVEL!G231</f>
        <v/>
      </c>
      <c r="H231" s="5">
        <f>100*LN(LEVEL!H231)</f>
        <v/>
      </c>
      <c r="I231" s="5">
        <f>100*LN(LEVEL!I231)</f>
        <v/>
      </c>
      <c r="J231" s="5">
        <f>100*LN(LEVEL!J231)</f>
        <v/>
      </c>
      <c r="K231" s="5">
        <f>100*LN(LEVEL!K231)</f>
        <v/>
      </c>
      <c r="L231" s="5">
        <f>LEVEL!L231</f>
        <v/>
      </c>
      <c r="M231" s="5">
        <f>LEVEL!M231</f>
        <v/>
      </c>
      <c r="N231" s="5">
        <f>100*LN(LEVEL!N231)</f>
        <v/>
      </c>
      <c r="O231" s="5">
        <f>100*LN(LEVEL!O231)</f>
        <v/>
      </c>
      <c r="P231" s="6">
        <f>IF(AND(YEAR($A231)=2020,MONTH($A231)=3),1,0)</f>
        <v/>
      </c>
      <c r="Q231" s="6">
        <f>IF(AND(YEAR($A231)=2020,MONTH($A231)=4),1,0)</f>
        <v/>
      </c>
      <c r="R231" s="6">
        <f>IF(AND(YEAR($A231)=2020,MONTH($A231)=5),1,0)</f>
        <v/>
      </c>
      <c r="S231" s="6">
        <f>IF(AND(YEAR($A231)=2020,MONTH($A231)=6),1,0)</f>
        <v/>
      </c>
    </row>
    <row r="232">
      <c r="A232" s="3" t="n">
        <v>43525</v>
      </c>
      <c r="B232" s="4" t="inlineStr">
        <is>
          <t>2019m3</t>
        </is>
      </c>
      <c r="C232" s="5">
        <f>100*LN(LEVEL!C232)</f>
        <v/>
      </c>
      <c r="D232" s="5">
        <f>100*LN(LEVEL!D232)</f>
        <v/>
      </c>
      <c r="E232" s="5">
        <f>100*LN(LEVEL!E232)</f>
        <v/>
      </c>
      <c r="F232" s="5">
        <f>LEVEL!F232</f>
        <v/>
      </c>
      <c r="G232" s="5">
        <f>LEVEL!G232</f>
        <v/>
      </c>
      <c r="H232" s="5">
        <f>100*LN(LEVEL!H232)</f>
        <v/>
      </c>
      <c r="I232" s="5">
        <f>100*LN(LEVEL!I232)</f>
        <v/>
      </c>
      <c r="J232" s="5">
        <f>100*LN(LEVEL!J232)</f>
        <v/>
      </c>
      <c r="K232" s="5">
        <f>100*LN(LEVEL!K232)</f>
        <v/>
      </c>
      <c r="L232" s="5">
        <f>LEVEL!L232</f>
        <v/>
      </c>
      <c r="M232" s="5">
        <f>LEVEL!M232</f>
        <v/>
      </c>
      <c r="N232" s="5">
        <f>100*LN(LEVEL!N232)</f>
        <v/>
      </c>
      <c r="O232" s="5">
        <f>100*LN(LEVEL!O232)</f>
        <v/>
      </c>
      <c r="P232" s="6">
        <f>IF(AND(YEAR($A232)=2020,MONTH($A232)=3),1,0)</f>
        <v/>
      </c>
      <c r="Q232" s="6">
        <f>IF(AND(YEAR($A232)=2020,MONTH($A232)=4),1,0)</f>
        <v/>
      </c>
      <c r="R232" s="6">
        <f>IF(AND(YEAR($A232)=2020,MONTH($A232)=5),1,0)</f>
        <v/>
      </c>
      <c r="S232" s="6">
        <f>IF(AND(YEAR($A232)=2020,MONTH($A232)=6),1,0)</f>
        <v/>
      </c>
    </row>
    <row r="233">
      <c r="A233" s="3" t="n">
        <v>43556</v>
      </c>
      <c r="B233" s="4" t="inlineStr">
        <is>
          <t>2019m4</t>
        </is>
      </c>
      <c r="C233" s="5">
        <f>100*LN(LEVEL!C233)</f>
        <v/>
      </c>
      <c r="D233" s="5">
        <f>100*LN(LEVEL!D233)</f>
        <v/>
      </c>
      <c r="E233" s="5">
        <f>100*LN(LEVEL!E233)</f>
        <v/>
      </c>
      <c r="F233" s="5">
        <f>LEVEL!F233</f>
        <v/>
      </c>
      <c r="G233" s="5">
        <f>LEVEL!G233</f>
        <v/>
      </c>
      <c r="H233" s="5">
        <f>100*LN(LEVEL!H233)</f>
        <v/>
      </c>
      <c r="I233" s="5">
        <f>100*LN(LEVEL!I233)</f>
        <v/>
      </c>
      <c r="J233" s="5">
        <f>100*LN(LEVEL!J233)</f>
        <v/>
      </c>
      <c r="K233" s="5">
        <f>100*LN(LEVEL!K233)</f>
        <v/>
      </c>
      <c r="L233" s="5">
        <f>LEVEL!L233</f>
        <v/>
      </c>
      <c r="M233" s="5">
        <f>LEVEL!M233</f>
        <v/>
      </c>
      <c r="N233" s="5">
        <f>100*LN(LEVEL!N233)</f>
        <v/>
      </c>
      <c r="O233" s="5">
        <f>100*LN(LEVEL!O233)</f>
        <v/>
      </c>
      <c r="P233" s="6">
        <f>IF(AND(YEAR($A233)=2020,MONTH($A233)=3),1,0)</f>
        <v/>
      </c>
      <c r="Q233" s="6">
        <f>IF(AND(YEAR($A233)=2020,MONTH($A233)=4),1,0)</f>
        <v/>
      </c>
      <c r="R233" s="6">
        <f>IF(AND(YEAR($A233)=2020,MONTH($A233)=5),1,0)</f>
        <v/>
      </c>
      <c r="S233" s="6">
        <f>IF(AND(YEAR($A233)=2020,MONTH($A233)=6),1,0)</f>
        <v/>
      </c>
    </row>
    <row r="234">
      <c r="A234" s="3" t="n">
        <v>43586</v>
      </c>
      <c r="B234" s="4" t="inlineStr">
        <is>
          <t>2019m5</t>
        </is>
      </c>
      <c r="C234" s="5">
        <f>100*LN(LEVEL!C234)</f>
        <v/>
      </c>
      <c r="D234" s="5">
        <f>100*LN(LEVEL!D234)</f>
        <v/>
      </c>
      <c r="E234" s="5">
        <f>100*LN(LEVEL!E234)</f>
        <v/>
      </c>
      <c r="F234" s="5">
        <f>LEVEL!F234</f>
        <v/>
      </c>
      <c r="G234" s="5">
        <f>LEVEL!G234</f>
        <v/>
      </c>
      <c r="H234" s="5">
        <f>100*LN(LEVEL!H234)</f>
        <v/>
      </c>
      <c r="I234" s="5">
        <f>100*LN(LEVEL!I234)</f>
        <v/>
      </c>
      <c r="J234" s="5">
        <f>100*LN(LEVEL!J234)</f>
        <v/>
      </c>
      <c r="K234" s="5">
        <f>100*LN(LEVEL!K234)</f>
        <v/>
      </c>
      <c r="L234" s="5">
        <f>LEVEL!L234</f>
        <v/>
      </c>
      <c r="M234" s="5">
        <f>LEVEL!M234</f>
        <v/>
      </c>
      <c r="N234" s="5">
        <f>100*LN(LEVEL!N234)</f>
        <v/>
      </c>
      <c r="O234" s="5">
        <f>100*LN(LEVEL!O234)</f>
        <v/>
      </c>
      <c r="P234" s="6">
        <f>IF(AND(YEAR($A234)=2020,MONTH($A234)=3),1,0)</f>
        <v/>
      </c>
      <c r="Q234" s="6">
        <f>IF(AND(YEAR($A234)=2020,MONTH($A234)=4),1,0)</f>
        <v/>
      </c>
      <c r="R234" s="6">
        <f>IF(AND(YEAR($A234)=2020,MONTH($A234)=5),1,0)</f>
        <v/>
      </c>
      <c r="S234" s="6">
        <f>IF(AND(YEAR($A234)=2020,MONTH($A234)=6),1,0)</f>
        <v/>
      </c>
    </row>
    <row r="235">
      <c r="A235" s="3" t="n">
        <v>43617</v>
      </c>
      <c r="B235" s="4" t="inlineStr">
        <is>
          <t>2019m6</t>
        </is>
      </c>
      <c r="C235" s="5">
        <f>100*LN(LEVEL!C235)</f>
        <v/>
      </c>
      <c r="D235" s="5">
        <f>100*LN(LEVEL!D235)</f>
        <v/>
      </c>
      <c r="E235" s="5">
        <f>100*LN(LEVEL!E235)</f>
        <v/>
      </c>
      <c r="F235" s="5">
        <f>LEVEL!F235</f>
        <v/>
      </c>
      <c r="G235" s="5">
        <f>LEVEL!G235</f>
        <v/>
      </c>
      <c r="H235" s="5">
        <f>100*LN(LEVEL!H235)</f>
        <v/>
      </c>
      <c r="I235" s="5">
        <f>100*LN(LEVEL!I235)</f>
        <v/>
      </c>
      <c r="J235" s="5">
        <f>100*LN(LEVEL!J235)</f>
        <v/>
      </c>
      <c r="K235" s="5">
        <f>100*LN(LEVEL!K235)</f>
        <v/>
      </c>
      <c r="L235" s="5">
        <f>LEVEL!L235</f>
        <v/>
      </c>
      <c r="M235" s="5">
        <f>LEVEL!M235</f>
        <v/>
      </c>
      <c r="N235" s="5">
        <f>100*LN(LEVEL!N235)</f>
        <v/>
      </c>
      <c r="O235" s="5">
        <f>100*LN(LEVEL!O235)</f>
        <v/>
      </c>
      <c r="P235" s="6">
        <f>IF(AND(YEAR($A235)=2020,MONTH($A235)=3),1,0)</f>
        <v/>
      </c>
      <c r="Q235" s="6">
        <f>IF(AND(YEAR($A235)=2020,MONTH($A235)=4),1,0)</f>
        <v/>
      </c>
      <c r="R235" s="6">
        <f>IF(AND(YEAR($A235)=2020,MONTH($A235)=5),1,0)</f>
        <v/>
      </c>
      <c r="S235" s="6">
        <f>IF(AND(YEAR($A235)=2020,MONTH($A235)=6),1,0)</f>
        <v/>
      </c>
    </row>
    <row r="236">
      <c r="A236" s="3" t="n">
        <v>43647</v>
      </c>
      <c r="B236" s="4" t="inlineStr">
        <is>
          <t>2019m7</t>
        </is>
      </c>
      <c r="C236" s="5">
        <f>100*LN(LEVEL!C236)</f>
        <v/>
      </c>
      <c r="D236" s="5">
        <f>100*LN(LEVEL!D236)</f>
        <v/>
      </c>
      <c r="E236" s="5">
        <f>100*LN(LEVEL!E236)</f>
        <v/>
      </c>
      <c r="F236" s="5">
        <f>LEVEL!F236</f>
        <v/>
      </c>
      <c r="G236" s="5">
        <f>LEVEL!G236</f>
        <v/>
      </c>
      <c r="H236" s="5">
        <f>100*LN(LEVEL!H236)</f>
        <v/>
      </c>
      <c r="I236" s="5">
        <f>100*LN(LEVEL!I236)</f>
        <v/>
      </c>
      <c r="J236" s="5">
        <f>100*LN(LEVEL!J236)</f>
        <v/>
      </c>
      <c r="K236" s="5">
        <f>100*LN(LEVEL!K236)</f>
        <v/>
      </c>
      <c r="L236" s="5">
        <f>LEVEL!L236</f>
        <v/>
      </c>
      <c r="M236" s="5">
        <f>LEVEL!M236</f>
        <v/>
      </c>
      <c r="N236" s="5">
        <f>100*LN(LEVEL!N236)</f>
        <v/>
      </c>
      <c r="O236" s="5">
        <f>100*LN(LEVEL!O236)</f>
        <v/>
      </c>
      <c r="P236" s="6">
        <f>IF(AND(YEAR($A236)=2020,MONTH($A236)=3),1,0)</f>
        <v/>
      </c>
      <c r="Q236" s="6">
        <f>IF(AND(YEAR($A236)=2020,MONTH($A236)=4),1,0)</f>
        <v/>
      </c>
      <c r="R236" s="6">
        <f>IF(AND(YEAR($A236)=2020,MONTH($A236)=5),1,0)</f>
        <v/>
      </c>
      <c r="S236" s="6">
        <f>IF(AND(YEAR($A236)=2020,MONTH($A236)=6),1,0)</f>
        <v/>
      </c>
    </row>
    <row r="237">
      <c r="A237" s="3" t="n">
        <v>43678</v>
      </c>
      <c r="B237" s="4" t="inlineStr">
        <is>
          <t>2019m8</t>
        </is>
      </c>
      <c r="C237" s="5">
        <f>100*LN(LEVEL!C237)</f>
        <v/>
      </c>
      <c r="D237" s="5">
        <f>100*LN(LEVEL!D237)</f>
        <v/>
      </c>
      <c r="E237" s="5">
        <f>100*LN(LEVEL!E237)</f>
        <v/>
      </c>
      <c r="F237" s="5">
        <f>LEVEL!F237</f>
        <v/>
      </c>
      <c r="G237" s="5">
        <f>LEVEL!G237</f>
        <v/>
      </c>
      <c r="H237" s="5">
        <f>100*LN(LEVEL!H237)</f>
        <v/>
      </c>
      <c r="I237" s="5">
        <f>100*LN(LEVEL!I237)</f>
        <v/>
      </c>
      <c r="J237" s="5">
        <f>100*LN(LEVEL!J237)</f>
        <v/>
      </c>
      <c r="K237" s="5">
        <f>100*LN(LEVEL!K237)</f>
        <v/>
      </c>
      <c r="L237" s="5">
        <f>LEVEL!L237</f>
        <v/>
      </c>
      <c r="M237" s="5">
        <f>LEVEL!M237</f>
        <v/>
      </c>
      <c r="N237" s="5">
        <f>100*LN(LEVEL!N237)</f>
        <v/>
      </c>
      <c r="O237" s="5">
        <f>100*LN(LEVEL!O237)</f>
        <v/>
      </c>
      <c r="P237" s="6">
        <f>IF(AND(YEAR($A237)=2020,MONTH($A237)=3),1,0)</f>
        <v/>
      </c>
      <c r="Q237" s="6">
        <f>IF(AND(YEAR($A237)=2020,MONTH($A237)=4),1,0)</f>
        <v/>
      </c>
      <c r="R237" s="6">
        <f>IF(AND(YEAR($A237)=2020,MONTH($A237)=5),1,0)</f>
        <v/>
      </c>
      <c r="S237" s="6">
        <f>IF(AND(YEAR($A237)=2020,MONTH($A237)=6),1,0)</f>
        <v/>
      </c>
    </row>
    <row r="238">
      <c r="A238" s="3" t="n">
        <v>43709</v>
      </c>
      <c r="B238" s="4" t="inlineStr">
        <is>
          <t>2019m9</t>
        </is>
      </c>
      <c r="C238" s="5">
        <f>100*LN(LEVEL!C238)</f>
        <v/>
      </c>
      <c r="D238" s="5">
        <f>100*LN(LEVEL!D238)</f>
        <v/>
      </c>
      <c r="E238" s="5">
        <f>100*LN(LEVEL!E238)</f>
        <v/>
      </c>
      <c r="F238" s="5">
        <f>LEVEL!F238</f>
        <v/>
      </c>
      <c r="G238" s="5">
        <f>LEVEL!G238</f>
        <v/>
      </c>
      <c r="H238" s="5">
        <f>100*LN(LEVEL!H238)</f>
        <v/>
      </c>
      <c r="I238" s="5">
        <f>100*LN(LEVEL!I238)</f>
        <v/>
      </c>
      <c r="J238" s="5">
        <f>100*LN(LEVEL!J238)</f>
        <v/>
      </c>
      <c r="K238" s="5">
        <f>100*LN(LEVEL!K238)</f>
        <v/>
      </c>
      <c r="L238" s="5">
        <f>LEVEL!L238</f>
        <v/>
      </c>
      <c r="M238" s="5">
        <f>LEVEL!M238</f>
        <v/>
      </c>
      <c r="N238" s="5">
        <f>100*LN(LEVEL!N238)</f>
        <v/>
      </c>
      <c r="O238" s="5">
        <f>100*LN(LEVEL!O238)</f>
        <v/>
      </c>
      <c r="P238" s="6">
        <f>IF(AND(YEAR($A238)=2020,MONTH($A238)=3),1,0)</f>
        <v/>
      </c>
      <c r="Q238" s="6">
        <f>IF(AND(YEAR($A238)=2020,MONTH($A238)=4),1,0)</f>
        <v/>
      </c>
      <c r="R238" s="6">
        <f>IF(AND(YEAR($A238)=2020,MONTH($A238)=5),1,0)</f>
        <v/>
      </c>
      <c r="S238" s="6">
        <f>IF(AND(YEAR($A238)=2020,MONTH($A238)=6),1,0)</f>
        <v/>
      </c>
    </row>
    <row r="239">
      <c r="A239" s="3" t="n">
        <v>43739</v>
      </c>
      <c r="B239" s="4" t="inlineStr">
        <is>
          <t>2019m10</t>
        </is>
      </c>
      <c r="C239" s="5">
        <f>100*LN(LEVEL!C239)</f>
        <v/>
      </c>
      <c r="D239" s="5">
        <f>100*LN(LEVEL!D239)</f>
        <v/>
      </c>
      <c r="E239" s="5">
        <f>100*LN(LEVEL!E239)</f>
        <v/>
      </c>
      <c r="F239" s="5">
        <f>LEVEL!F239</f>
        <v/>
      </c>
      <c r="G239" s="5">
        <f>LEVEL!G239</f>
        <v/>
      </c>
      <c r="H239" s="5">
        <f>100*LN(LEVEL!H239)</f>
        <v/>
      </c>
      <c r="I239" s="5">
        <f>100*LN(LEVEL!I239)</f>
        <v/>
      </c>
      <c r="J239" s="5">
        <f>100*LN(LEVEL!J239)</f>
        <v/>
      </c>
      <c r="K239" s="5">
        <f>100*LN(LEVEL!K239)</f>
        <v/>
      </c>
      <c r="L239" s="5">
        <f>LEVEL!L239</f>
        <v/>
      </c>
      <c r="M239" s="5">
        <f>LEVEL!M239</f>
        <v/>
      </c>
      <c r="N239" s="5">
        <f>100*LN(LEVEL!N239)</f>
        <v/>
      </c>
      <c r="O239" s="5">
        <f>100*LN(LEVEL!O239)</f>
        <v/>
      </c>
      <c r="P239" s="6">
        <f>IF(AND(YEAR($A239)=2020,MONTH($A239)=3),1,0)</f>
        <v/>
      </c>
      <c r="Q239" s="6">
        <f>IF(AND(YEAR($A239)=2020,MONTH($A239)=4),1,0)</f>
        <v/>
      </c>
      <c r="R239" s="6">
        <f>IF(AND(YEAR($A239)=2020,MONTH($A239)=5),1,0)</f>
        <v/>
      </c>
      <c r="S239" s="6">
        <f>IF(AND(YEAR($A239)=2020,MONTH($A239)=6),1,0)</f>
        <v/>
      </c>
    </row>
    <row r="240">
      <c r="A240" s="3" t="n">
        <v>43770</v>
      </c>
      <c r="B240" s="4" t="inlineStr">
        <is>
          <t>2019m11</t>
        </is>
      </c>
      <c r="C240" s="5">
        <f>100*LN(LEVEL!C240)</f>
        <v/>
      </c>
      <c r="D240" s="5">
        <f>100*LN(LEVEL!D240)</f>
        <v/>
      </c>
      <c r="E240" s="5">
        <f>100*LN(LEVEL!E240)</f>
        <v/>
      </c>
      <c r="F240" s="5">
        <f>LEVEL!F240</f>
        <v/>
      </c>
      <c r="G240" s="5">
        <f>LEVEL!G240</f>
        <v/>
      </c>
      <c r="H240" s="5">
        <f>100*LN(LEVEL!H240)</f>
        <v/>
      </c>
      <c r="I240" s="5">
        <f>100*LN(LEVEL!I240)</f>
        <v/>
      </c>
      <c r="J240" s="5">
        <f>100*LN(LEVEL!J240)</f>
        <v/>
      </c>
      <c r="K240" s="5">
        <f>100*LN(LEVEL!K240)</f>
        <v/>
      </c>
      <c r="L240" s="5">
        <f>LEVEL!L240</f>
        <v/>
      </c>
      <c r="M240" s="5">
        <f>LEVEL!M240</f>
        <v/>
      </c>
      <c r="N240" s="5">
        <f>100*LN(LEVEL!N240)</f>
        <v/>
      </c>
      <c r="O240" s="5">
        <f>100*LN(LEVEL!O240)</f>
        <v/>
      </c>
      <c r="P240" s="6">
        <f>IF(AND(YEAR($A240)=2020,MONTH($A240)=3),1,0)</f>
        <v/>
      </c>
      <c r="Q240" s="6">
        <f>IF(AND(YEAR($A240)=2020,MONTH($A240)=4),1,0)</f>
        <v/>
      </c>
      <c r="R240" s="6">
        <f>IF(AND(YEAR($A240)=2020,MONTH($A240)=5),1,0)</f>
        <v/>
      </c>
      <c r="S240" s="6">
        <f>IF(AND(YEAR($A240)=2020,MONTH($A240)=6),1,0)</f>
        <v/>
      </c>
    </row>
    <row r="241">
      <c r="A241" s="3" t="n">
        <v>43800</v>
      </c>
      <c r="B241" s="4" t="inlineStr">
        <is>
          <t>2019m12</t>
        </is>
      </c>
      <c r="C241" s="5">
        <f>100*LN(LEVEL!C241)</f>
        <v/>
      </c>
      <c r="D241" s="5">
        <f>100*LN(LEVEL!D241)</f>
        <v/>
      </c>
      <c r="E241" s="5">
        <f>100*LN(LEVEL!E241)</f>
        <v/>
      </c>
      <c r="F241" s="5">
        <f>LEVEL!F241</f>
        <v/>
      </c>
      <c r="G241" s="5">
        <f>LEVEL!G241</f>
        <v/>
      </c>
      <c r="H241" s="5">
        <f>100*LN(LEVEL!H241)</f>
        <v/>
      </c>
      <c r="I241" s="5">
        <f>100*LN(LEVEL!I241)</f>
        <v/>
      </c>
      <c r="J241" s="5">
        <f>100*LN(LEVEL!J241)</f>
        <v/>
      </c>
      <c r="K241" s="5">
        <f>100*LN(LEVEL!K241)</f>
        <v/>
      </c>
      <c r="L241" s="5">
        <f>LEVEL!L241</f>
        <v/>
      </c>
      <c r="M241" s="5">
        <f>LEVEL!M241</f>
        <v/>
      </c>
      <c r="N241" s="5">
        <f>100*LN(LEVEL!N241)</f>
        <v/>
      </c>
      <c r="O241" s="5">
        <f>100*LN(LEVEL!O241)</f>
        <v/>
      </c>
      <c r="P241" s="6">
        <f>IF(AND(YEAR($A241)=2020,MONTH($A241)=3),1,0)</f>
        <v/>
      </c>
      <c r="Q241" s="6">
        <f>IF(AND(YEAR($A241)=2020,MONTH($A241)=4),1,0)</f>
        <v/>
      </c>
      <c r="R241" s="6">
        <f>IF(AND(YEAR($A241)=2020,MONTH($A241)=5),1,0)</f>
        <v/>
      </c>
      <c r="S241" s="6">
        <f>IF(AND(YEAR($A241)=2020,MONTH($A241)=6),1,0)</f>
        <v/>
      </c>
    </row>
    <row r="242">
      <c r="A242" s="3" t="n">
        <v>43831</v>
      </c>
      <c r="B242" s="4" t="inlineStr">
        <is>
          <t>2020m1</t>
        </is>
      </c>
      <c r="C242" s="5">
        <f>100*LN(LEVEL!C242)</f>
        <v/>
      </c>
      <c r="D242" s="5">
        <f>100*LN(LEVEL!D242)</f>
        <v/>
      </c>
      <c r="E242" s="5">
        <f>100*LN(LEVEL!E242)</f>
        <v/>
      </c>
      <c r="F242" s="5">
        <f>LEVEL!F242</f>
        <v/>
      </c>
      <c r="G242" s="5">
        <f>LEVEL!G242</f>
        <v/>
      </c>
      <c r="H242" s="5">
        <f>100*LN(LEVEL!H242)</f>
        <v/>
      </c>
      <c r="I242" s="5">
        <f>100*LN(LEVEL!I242)</f>
        <v/>
      </c>
      <c r="J242" s="5">
        <f>100*LN(LEVEL!J242)</f>
        <v/>
      </c>
      <c r="K242" s="5">
        <f>100*LN(LEVEL!K242)</f>
        <v/>
      </c>
      <c r="L242" s="5">
        <f>LEVEL!L242</f>
        <v/>
      </c>
      <c r="M242" s="5">
        <f>LEVEL!M242</f>
        <v/>
      </c>
      <c r="N242" s="5">
        <f>100*LN(LEVEL!N242)</f>
        <v/>
      </c>
      <c r="O242" s="5">
        <f>100*LN(LEVEL!O242)</f>
        <v/>
      </c>
      <c r="P242" s="6">
        <f>IF(AND(YEAR($A242)=2020,MONTH($A242)=3),1,0)</f>
        <v/>
      </c>
      <c r="Q242" s="6">
        <f>IF(AND(YEAR($A242)=2020,MONTH($A242)=4),1,0)</f>
        <v/>
      </c>
      <c r="R242" s="6">
        <f>IF(AND(YEAR($A242)=2020,MONTH($A242)=5),1,0)</f>
        <v/>
      </c>
      <c r="S242" s="6">
        <f>IF(AND(YEAR($A242)=2020,MONTH($A242)=6),1,0)</f>
        <v/>
      </c>
    </row>
    <row r="243">
      <c r="A243" s="3" t="n">
        <v>43862</v>
      </c>
      <c r="B243" s="4" t="inlineStr">
        <is>
          <t>2020m2</t>
        </is>
      </c>
      <c r="C243" s="5">
        <f>100*LN(LEVEL!C243)</f>
        <v/>
      </c>
      <c r="D243" s="5">
        <f>100*LN(LEVEL!D243)</f>
        <v/>
      </c>
      <c r="E243" s="5">
        <f>100*LN(LEVEL!E243)</f>
        <v/>
      </c>
      <c r="F243" s="5">
        <f>LEVEL!F243</f>
        <v/>
      </c>
      <c r="G243" s="5">
        <f>LEVEL!G243</f>
        <v/>
      </c>
      <c r="H243" s="5">
        <f>100*LN(LEVEL!H243)</f>
        <v/>
      </c>
      <c r="I243" s="5">
        <f>100*LN(LEVEL!I243)</f>
        <v/>
      </c>
      <c r="J243" s="5">
        <f>100*LN(LEVEL!J243)</f>
        <v/>
      </c>
      <c r="K243" s="5">
        <f>100*LN(LEVEL!K243)</f>
        <v/>
      </c>
      <c r="L243" s="5">
        <f>LEVEL!L243</f>
        <v/>
      </c>
      <c r="M243" s="5">
        <f>LEVEL!M243</f>
        <v/>
      </c>
      <c r="N243" s="5">
        <f>100*LN(LEVEL!N243)</f>
        <v/>
      </c>
      <c r="O243" s="5">
        <f>100*LN(LEVEL!O243)</f>
        <v/>
      </c>
      <c r="P243" s="6">
        <f>IF(AND(YEAR($A243)=2020,MONTH($A243)=3),1,0)</f>
        <v/>
      </c>
      <c r="Q243" s="6">
        <f>IF(AND(YEAR($A243)=2020,MONTH($A243)=4),1,0)</f>
        <v/>
      </c>
      <c r="R243" s="6">
        <f>IF(AND(YEAR($A243)=2020,MONTH($A243)=5),1,0)</f>
        <v/>
      </c>
      <c r="S243" s="6">
        <f>IF(AND(YEAR($A243)=2020,MONTH($A243)=6),1,0)</f>
        <v/>
      </c>
    </row>
    <row r="244">
      <c r="A244" s="3" t="n">
        <v>43891</v>
      </c>
      <c r="B244" s="4" t="inlineStr">
        <is>
          <t>2020m3</t>
        </is>
      </c>
      <c r="C244" s="5">
        <f>100*LN(LEVEL!C244)</f>
        <v/>
      </c>
      <c r="D244" s="5">
        <f>100*LN(LEVEL!D244)</f>
        <v/>
      </c>
      <c r="E244" s="5">
        <f>100*LN(LEVEL!E244)</f>
        <v/>
      </c>
      <c r="F244" s="5">
        <f>LEVEL!F244</f>
        <v/>
      </c>
      <c r="G244" s="5">
        <f>LEVEL!G244</f>
        <v/>
      </c>
      <c r="H244" s="5">
        <f>100*LN(LEVEL!H244)</f>
        <v/>
      </c>
      <c r="I244" s="5">
        <f>100*LN(LEVEL!I244)</f>
        <v/>
      </c>
      <c r="J244" s="5">
        <f>100*LN(LEVEL!J244)</f>
        <v/>
      </c>
      <c r="K244" s="5">
        <f>100*LN(LEVEL!K244)</f>
        <v/>
      </c>
      <c r="L244" s="5">
        <f>LEVEL!L244</f>
        <v/>
      </c>
      <c r="M244" s="5">
        <f>LEVEL!M244</f>
        <v/>
      </c>
      <c r="N244" s="5">
        <f>100*LN(LEVEL!N244)</f>
        <v/>
      </c>
      <c r="O244" s="5">
        <f>100*LN(LEVEL!O244)</f>
        <v/>
      </c>
      <c r="P244" s="6">
        <f>IF(AND(YEAR($A244)=2020,MONTH($A244)=3),1,0)</f>
        <v/>
      </c>
      <c r="Q244" s="6">
        <f>IF(AND(YEAR($A244)=2020,MONTH($A244)=4),1,0)</f>
        <v/>
      </c>
      <c r="R244" s="6">
        <f>IF(AND(YEAR($A244)=2020,MONTH($A244)=5),1,0)</f>
        <v/>
      </c>
      <c r="S244" s="6">
        <f>IF(AND(YEAR($A244)=2020,MONTH($A244)=6),1,0)</f>
        <v/>
      </c>
    </row>
    <row r="245">
      <c r="A245" s="3" t="n">
        <v>43922</v>
      </c>
      <c r="B245" s="4" t="inlineStr">
        <is>
          <t>2020m4</t>
        </is>
      </c>
      <c r="C245" s="5">
        <f>100*LN(LEVEL!C245)</f>
        <v/>
      </c>
      <c r="D245" s="5">
        <f>100*LN(LEVEL!D245)</f>
        <v/>
      </c>
      <c r="E245" s="5">
        <f>100*LN(LEVEL!E245)</f>
        <v/>
      </c>
      <c r="F245" s="5">
        <f>LEVEL!F245</f>
        <v/>
      </c>
      <c r="G245" s="5">
        <f>LEVEL!G245</f>
        <v/>
      </c>
      <c r="H245" s="5">
        <f>100*LN(LEVEL!H245)</f>
        <v/>
      </c>
      <c r="I245" s="5">
        <f>100*LN(LEVEL!I245)</f>
        <v/>
      </c>
      <c r="J245" s="5">
        <f>100*LN(LEVEL!J245)</f>
        <v/>
      </c>
      <c r="K245" s="5">
        <f>100*LN(LEVEL!K245)</f>
        <v/>
      </c>
      <c r="L245" s="5">
        <f>LEVEL!L245</f>
        <v/>
      </c>
      <c r="M245" s="5">
        <f>LEVEL!M245</f>
        <v/>
      </c>
      <c r="N245" s="5">
        <f>100*LN(LEVEL!N245)</f>
        <v/>
      </c>
      <c r="O245" s="5">
        <f>100*LN(LEVEL!O245)</f>
        <v/>
      </c>
      <c r="P245" s="6">
        <f>IF(AND(YEAR($A245)=2020,MONTH($A245)=3),1,0)</f>
        <v/>
      </c>
      <c r="Q245" s="6">
        <f>IF(AND(YEAR($A245)=2020,MONTH($A245)=4),1,0)</f>
        <v/>
      </c>
      <c r="R245" s="6">
        <f>IF(AND(YEAR($A245)=2020,MONTH($A245)=5),1,0)</f>
        <v/>
      </c>
      <c r="S245" s="6">
        <f>IF(AND(YEAR($A245)=2020,MONTH($A245)=6),1,0)</f>
        <v/>
      </c>
    </row>
    <row r="246">
      <c r="A246" s="3" t="n">
        <v>43952</v>
      </c>
      <c r="B246" s="4" t="inlineStr">
        <is>
          <t>2020m5</t>
        </is>
      </c>
      <c r="C246" s="5">
        <f>100*LN(LEVEL!C246)</f>
        <v/>
      </c>
      <c r="D246" s="5">
        <f>100*LN(LEVEL!D246)</f>
        <v/>
      </c>
      <c r="E246" s="5">
        <f>100*LN(LEVEL!E246)</f>
        <v/>
      </c>
      <c r="F246" s="5">
        <f>LEVEL!F246</f>
        <v/>
      </c>
      <c r="G246" s="5">
        <f>LEVEL!G246</f>
        <v/>
      </c>
      <c r="H246" s="5">
        <f>100*LN(LEVEL!H246)</f>
        <v/>
      </c>
      <c r="I246" s="5">
        <f>100*LN(LEVEL!I246)</f>
        <v/>
      </c>
      <c r="J246" s="5">
        <f>100*LN(LEVEL!J246)</f>
        <v/>
      </c>
      <c r="K246" s="5">
        <f>100*LN(LEVEL!K246)</f>
        <v/>
      </c>
      <c r="L246" s="5">
        <f>LEVEL!L246</f>
        <v/>
      </c>
      <c r="M246" s="5">
        <f>LEVEL!M246</f>
        <v/>
      </c>
      <c r="N246" s="5">
        <f>100*LN(LEVEL!N246)</f>
        <v/>
      </c>
      <c r="O246" s="5">
        <f>100*LN(LEVEL!O246)</f>
        <v/>
      </c>
      <c r="P246" s="6">
        <f>IF(AND(YEAR($A246)=2020,MONTH($A246)=3),1,0)</f>
        <v/>
      </c>
      <c r="Q246" s="6">
        <f>IF(AND(YEAR($A246)=2020,MONTH($A246)=4),1,0)</f>
        <v/>
      </c>
      <c r="R246" s="6">
        <f>IF(AND(YEAR($A246)=2020,MONTH($A246)=5),1,0)</f>
        <v/>
      </c>
      <c r="S246" s="6">
        <f>IF(AND(YEAR($A246)=2020,MONTH($A246)=6),1,0)</f>
        <v/>
      </c>
    </row>
    <row r="247">
      <c r="A247" s="3" t="n">
        <v>43983</v>
      </c>
      <c r="B247" s="4" t="inlineStr">
        <is>
          <t>2020m6</t>
        </is>
      </c>
      <c r="C247" s="5">
        <f>100*LN(LEVEL!C247)</f>
        <v/>
      </c>
      <c r="D247" s="5">
        <f>100*LN(LEVEL!D247)</f>
        <v/>
      </c>
      <c r="E247" s="5">
        <f>100*LN(LEVEL!E247)</f>
        <v/>
      </c>
      <c r="F247" s="5">
        <f>LEVEL!F247</f>
        <v/>
      </c>
      <c r="G247" s="5">
        <f>LEVEL!G247</f>
        <v/>
      </c>
      <c r="H247" s="5">
        <f>100*LN(LEVEL!H247)</f>
        <v/>
      </c>
      <c r="I247" s="5">
        <f>100*LN(LEVEL!I247)</f>
        <v/>
      </c>
      <c r="J247" s="5">
        <f>100*LN(LEVEL!J247)</f>
        <v/>
      </c>
      <c r="K247" s="5">
        <f>100*LN(LEVEL!K247)</f>
        <v/>
      </c>
      <c r="L247" s="5">
        <f>LEVEL!L247</f>
        <v/>
      </c>
      <c r="M247" s="5">
        <f>LEVEL!M247</f>
        <v/>
      </c>
      <c r="N247" s="5">
        <f>100*LN(LEVEL!N247)</f>
        <v/>
      </c>
      <c r="O247" s="5">
        <f>100*LN(LEVEL!O247)</f>
        <v/>
      </c>
      <c r="P247" s="6">
        <f>IF(AND(YEAR($A247)=2020,MONTH($A247)=3),1,0)</f>
        <v/>
      </c>
      <c r="Q247" s="6">
        <f>IF(AND(YEAR($A247)=2020,MONTH($A247)=4),1,0)</f>
        <v/>
      </c>
      <c r="R247" s="6">
        <f>IF(AND(YEAR($A247)=2020,MONTH($A247)=5),1,0)</f>
        <v/>
      </c>
      <c r="S247" s="6">
        <f>IF(AND(YEAR($A247)=2020,MONTH($A247)=6),1,0)</f>
        <v/>
      </c>
    </row>
    <row r="248">
      <c r="A248" s="3" t="n">
        <v>44013</v>
      </c>
      <c r="B248" s="4" t="inlineStr">
        <is>
          <t>2020m7</t>
        </is>
      </c>
      <c r="C248" s="5">
        <f>100*LN(LEVEL!C248)</f>
        <v/>
      </c>
      <c r="D248" s="5">
        <f>100*LN(LEVEL!D248)</f>
        <v/>
      </c>
      <c r="E248" s="5">
        <f>100*LN(LEVEL!E248)</f>
        <v/>
      </c>
      <c r="F248" s="5">
        <f>LEVEL!F248</f>
        <v/>
      </c>
      <c r="G248" s="5">
        <f>LEVEL!G248</f>
        <v/>
      </c>
      <c r="H248" s="5">
        <f>100*LN(LEVEL!H248)</f>
        <v/>
      </c>
      <c r="I248" s="5">
        <f>100*LN(LEVEL!I248)</f>
        <v/>
      </c>
      <c r="J248" s="5">
        <f>100*LN(LEVEL!J248)</f>
        <v/>
      </c>
      <c r="K248" s="5">
        <f>100*LN(LEVEL!K248)</f>
        <v/>
      </c>
      <c r="L248" s="5">
        <f>LEVEL!L248</f>
        <v/>
      </c>
      <c r="M248" s="5">
        <f>LEVEL!M248</f>
        <v/>
      </c>
      <c r="N248" s="5">
        <f>100*LN(LEVEL!N248)</f>
        <v/>
      </c>
      <c r="O248" s="5">
        <f>100*LN(LEVEL!O248)</f>
        <v/>
      </c>
      <c r="P248" s="6">
        <f>IF(AND(YEAR($A248)=2020,MONTH($A248)=3),1,0)</f>
        <v/>
      </c>
      <c r="Q248" s="6">
        <f>IF(AND(YEAR($A248)=2020,MONTH($A248)=4),1,0)</f>
        <v/>
      </c>
      <c r="R248" s="6">
        <f>IF(AND(YEAR($A248)=2020,MONTH($A248)=5),1,0)</f>
        <v/>
      </c>
      <c r="S248" s="6">
        <f>IF(AND(YEAR($A248)=2020,MONTH($A248)=6),1,0)</f>
        <v/>
      </c>
    </row>
    <row r="249">
      <c r="A249" s="3" t="n">
        <v>44044</v>
      </c>
      <c r="B249" s="4" t="inlineStr">
        <is>
          <t>2020m8</t>
        </is>
      </c>
      <c r="C249" s="5">
        <f>100*LN(LEVEL!C249)</f>
        <v/>
      </c>
      <c r="D249" s="5">
        <f>100*LN(LEVEL!D249)</f>
        <v/>
      </c>
      <c r="E249" s="5">
        <f>100*LN(LEVEL!E249)</f>
        <v/>
      </c>
      <c r="F249" s="5">
        <f>LEVEL!F249</f>
        <v/>
      </c>
      <c r="G249" s="5">
        <f>LEVEL!G249</f>
        <v/>
      </c>
      <c r="H249" s="5">
        <f>100*LN(LEVEL!H249)</f>
        <v/>
      </c>
      <c r="I249" s="5">
        <f>100*LN(LEVEL!I249)</f>
        <v/>
      </c>
      <c r="J249" s="5">
        <f>100*LN(LEVEL!J249)</f>
        <v/>
      </c>
      <c r="K249" s="5">
        <f>100*LN(LEVEL!K249)</f>
        <v/>
      </c>
      <c r="L249" s="5">
        <f>LEVEL!L249</f>
        <v/>
      </c>
      <c r="M249" s="5">
        <f>LEVEL!M249</f>
        <v/>
      </c>
      <c r="N249" s="5">
        <f>100*LN(LEVEL!N249)</f>
        <v/>
      </c>
      <c r="O249" s="5">
        <f>100*LN(LEVEL!O249)</f>
        <v/>
      </c>
      <c r="P249" s="6">
        <f>IF(AND(YEAR($A249)=2020,MONTH($A249)=3),1,0)</f>
        <v/>
      </c>
      <c r="Q249" s="6">
        <f>IF(AND(YEAR($A249)=2020,MONTH($A249)=4),1,0)</f>
        <v/>
      </c>
      <c r="R249" s="6">
        <f>IF(AND(YEAR($A249)=2020,MONTH($A249)=5),1,0)</f>
        <v/>
      </c>
      <c r="S249" s="6">
        <f>IF(AND(YEAR($A249)=2020,MONTH($A249)=6),1,0)</f>
        <v/>
      </c>
    </row>
    <row r="250">
      <c r="A250" s="3" t="n">
        <v>44075</v>
      </c>
      <c r="B250" s="4" t="inlineStr">
        <is>
          <t>2020m9</t>
        </is>
      </c>
      <c r="C250" s="5">
        <f>100*LN(LEVEL!C250)</f>
        <v/>
      </c>
      <c r="D250" s="5">
        <f>100*LN(LEVEL!D250)</f>
        <v/>
      </c>
      <c r="E250" s="5">
        <f>100*LN(LEVEL!E250)</f>
        <v/>
      </c>
      <c r="F250" s="5">
        <f>LEVEL!F250</f>
        <v/>
      </c>
      <c r="G250" s="5">
        <f>LEVEL!G250</f>
        <v/>
      </c>
      <c r="H250" s="5">
        <f>100*LN(LEVEL!H250)</f>
        <v/>
      </c>
      <c r="I250" s="5">
        <f>100*LN(LEVEL!I250)</f>
        <v/>
      </c>
      <c r="J250" s="5">
        <f>100*LN(LEVEL!J250)</f>
        <v/>
      </c>
      <c r="K250" s="5">
        <f>100*LN(LEVEL!K250)</f>
        <v/>
      </c>
      <c r="L250" s="5">
        <f>LEVEL!L250</f>
        <v/>
      </c>
      <c r="M250" s="5">
        <f>LEVEL!M250</f>
        <v/>
      </c>
      <c r="N250" s="5">
        <f>100*LN(LEVEL!N250)</f>
        <v/>
      </c>
      <c r="O250" s="5">
        <f>100*LN(LEVEL!O250)</f>
        <v/>
      </c>
      <c r="P250" s="6">
        <f>IF(AND(YEAR($A250)=2020,MONTH($A250)=3),1,0)</f>
        <v/>
      </c>
      <c r="Q250" s="6">
        <f>IF(AND(YEAR($A250)=2020,MONTH($A250)=4),1,0)</f>
        <v/>
      </c>
      <c r="R250" s="6">
        <f>IF(AND(YEAR($A250)=2020,MONTH($A250)=5),1,0)</f>
        <v/>
      </c>
      <c r="S250" s="6">
        <f>IF(AND(YEAR($A250)=2020,MONTH($A250)=6),1,0)</f>
        <v/>
      </c>
    </row>
    <row r="251">
      <c r="A251" s="3" t="n">
        <v>44105</v>
      </c>
      <c r="B251" s="4" t="inlineStr">
        <is>
          <t>2020m10</t>
        </is>
      </c>
      <c r="C251" s="5">
        <f>100*LN(LEVEL!C251)</f>
        <v/>
      </c>
      <c r="D251" s="5">
        <f>100*LN(LEVEL!D251)</f>
        <v/>
      </c>
      <c r="E251" s="5">
        <f>100*LN(LEVEL!E251)</f>
        <v/>
      </c>
      <c r="F251" s="5">
        <f>LEVEL!F251</f>
        <v/>
      </c>
      <c r="G251" s="5">
        <f>LEVEL!G251</f>
        <v/>
      </c>
      <c r="H251" s="5">
        <f>100*LN(LEVEL!H251)</f>
        <v/>
      </c>
      <c r="I251" s="5">
        <f>100*LN(LEVEL!I251)</f>
        <v/>
      </c>
      <c r="J251" s="5">
        <f>100*LN(LEVEL!J251)</f>
        <v/>
      </c>
      <c r="K251" s="5">
        <f>100*LN(LEVEL!K251)</f>
        <v/>
      </c>
      <c r="L251" s="5">
        <f>LEVEL!L251</f>
        <v/>
      </c>
      <c r="M251" s="5">
        <f>LEVEL!M251</f>
        <v/>
      </c>
      <c r="N251" s="5">
        <f>100*LN(LEVEL!N251)</f>
        <v/>
      </c>
      <c r="O251" s="5">
        <f>100*LN(LEVEL!O251)</f>
        <v/>
      </c>
      <c r="P251" s="6">
        <f>IF(AND(YEAR($A251)=2020,MONTH($A251)=3),1,0)</f>
        <v/>
      </c>
      <c r="Q251" s="6">
        <f>IF(AND(YEAR($A251)=2020,MONTH($A251)=4),1,0)</f>
        <v/>
      </c>
      <c r="R251" s="6">
        <f>IF(AND(YEAR($A251)=2020,MONTH($A251)=5),1,0)</f>
        <v/>
      </c>
      <c r="S251" s="6">
        <f>IF(AND(YEAR($A251)=2020,MONTH($A251)=6),1,0)</f>
        <v/>
      </c>
    </row>
    <row r="252">
      <c r="A252" s="3" t="n">
        <v>44136</v>
      </c>
      <c r="B252" s="4" t="inlineStr">
        <is>
          <t>2020m11</t>
        </is>
      </c>
      <c r="C252" s="5">
        <f>100*LN(LEVEL!C252)</f>
        <v/>
      </c>
      <c r="D252" s="5">
        <f>100*LN(LEVEL!D252)</f>
        <v/>
      </c>
      <c r="E252" s="5">
        <f>100*LN(LEVEL!E252)</f>
        <v/>
      </c>
      <c r="F252" s="5">
        <f>LEVEL!F252</f>
        <v/>
      </c>
      <c r="G252" s="5">
        <f>LEVEL!G252</f>
        <v/>
      </c>
      <c r="H252" s="5">
        <f>100*LN(LEVEL!H252)</f>
        <v/>
      </c>
      <c r="I252" s="5">
        <f>100*LN(LEVEL!I252)</f>
        <v/>
      </c>
      <c r="J252" s="5">
        <f>100*LN(LEVEL!J252)</f>
        <v/>
      </c>
      <c r="K252" s="5">
        <f>100*LN(LEVEL!K252)</f>
        <v/>
      </c>
      <c r="L252" s="5">
        <f>LEVEL!L252</f>
        <v/>
      </c>
      <c r="M252" s="5">
        <f>LEVEL!M252</f>
        <v/>
      </c>
      <c r="N252" s="5">
        <f>100*LN(LEVEL!N252)</f>
        <v/>
      </c>
      <c r="O252" s="5">
        <f>100*LN(LEVEL!O252)</f>
        <v/>
      </c>
      <c r="P252" s="6">
        <f>IF(AND(YEAR($A252)=2020,MONTH($A252)=3),1,0)</f>
        <v/>
      </c>
      <c r="Q252" s="6">
        <f>IF(AND(YEAR($A252)=2020,MONTH($A252)=4),1,0)</f>
        <v/>
      </c>
      <c r="R252" s="6">
        <f>IF(AND(YEAR($A252)=2020,MONTH($A252)=5),1,0)</f>
        <v/>
      </c>
      <c r="S252" s="6">
        <f>IF(AND(YEAR($A252)=2020,MONTH($A252)=6),1,0)</f>
        <v/>
      </c>
    </row>
    <row r="253">
      <c r="A253" s="3" t="n">
        <v>44166</v>
      </c>
      <c r="B253" s="4" t="inlineStr">
        <is>
          <t>2020m12</t>
        </is>
      </c>
      <c r="C253" s="5">
        <f>100*LN(LEVEL!C253)</f>
        <v/>
      </c>
      <c r="D253" s="5">
        <f>100*LN(LEVEL!D253)</f>
        <v/>
      </c>
      <c r="E253" s="5">
        <f>100*LN(LEVEL!E253)</f>
        <v/>
      </c>
      <c r="F253" s="5">
        <f>LEVEL!F253</f>
        <v/>
      </c>
      <c r="G253" s="5">
        <f>LEVEL!G253</f>
        <v/>
      </c>
      <c r="H253" s="5">
        <f>100*LN(LEVEL!H253)</f>
        <v/>
      </c>
      <c r="I253" s="5">
        <f>100*LN(LEVEL!I253)</f>
        <v/>
      </c>
      <c r="J253" s="5">
        <f>100*LN(LEVEL!J253)</f>
        <v/>
      </c>
      <c r="K253" s="5">
        <f>100*LN(LEVEL!K253)</f>
        <v/>
      </c>
      <c r="L253" s="5">
        <f>LEVEL!L253</f>
        <v/>
      </c>
      <c r="M253" s="5">
        <f>LEVEL!M253</f>
        <v/>
      </c>
      <c r="N253" s="5">
        <f>100*LN(LEVEL!N253)</f>
        <v/>
      </c>
      <c r="O253" s="5">
        <f>100*LN(LEVEL!O253)</f>
        <v/>
      </c>
      <c r="P253" s="6">
        <f>IF(AND(YEAR($A253)=2020,MONTH($A253)=3),1,0)</f>
        <v/>
      </c>
      <c r="Q253" s="6">
        <f>IF(AND(YEAR($A253)=2020,MONTH($A253)=4),1,0)</f>
        <v/>
      </c>
      <c r="R253" s="6">
        <f>IF(AND(YEAR($A253)=2020,MONTH($A253)=5),1,0)</f>
        <v/>
      </c>
      <c r="S253" s="6">
        <f>IF(AND(YEAR($A253)=2020,MONTH($A253)=6),1,0)</f>
        <v/>
      </c>
    </row>
    <row r="254">
      <c r="A254" s="3" t="n">
        <v>44197</v>
      </c>
      <c r="B254" s="4" t="inlineStr">
        <is>
          <t>2021m1</t>
        </is>
      </c>
      <c r="C254" s="5">
        <f>100*LN(LEVEL!C254)</f>
        <v/>
      </c>
      <c r="D254" s="5">
        <f>100*LN(LEVEL!D254)</f>
        <v/>
      </c>
      <c r="E254" s="5">
        <f>100*LN(LEVEL!E254)</f>
        <v/>
      </c>
      <c r="F254" s="5">
        <f>LEVEL!F254</f>
        <v/>
      </c>
      <c r="G254" s="5">
        <f>LEVEL!G254</f>
        <v/>
      </c>
      <c r="H254" s="5">
        <f>100*LN(LEVEL!H254)</f>
        <v/>
      </c>
      <c r="I254" s="5">
        <f>100*LN(LEVEL!I254)</f>
        <v/>
      </c>
      <c r="J254" s="5">
        <f>100*LN(LEVEL!J254)</f>
        <v/>
      </c>
      <c r="K254" s="5">
        <f>100*LN(LEVEL!K254)</f>
        <v/>
      </c>
      <c r="L254" s="5">
        <f>LEVEL!L254</f>
        <v/>
      </c>
      <c r="M254" s="5">
        <f>LEVEL!M254</f>
        <v/>
      </c>
      <c r="N254" s="5">
        <f>100*LN(LEVEL!N254)</f>
        <v/>
      </c>
      <c r="O254" s="5">
        <f>100*LN(LEVEL!O254)</f>
        <v/>
      </c>
      <c r="P254" s="6">
        <f>IF(AND(YEAR($A254)=2020,MONTH($A254)=3),1,0)</f>
        <v/>
      </c>
      <c r="Q254" s="6">
        <f>IF(AND(YEAR($A254)=2020,MONTH($A254)=4),1,0)</f>
        <v/>
      </c>
      <c r="R254" s="6">
        <f>IF(AND(YEAR($A254)=2020,MONTH($A254)=5),1,0)</f>
        <v/>
      </c>
      <c r="S254" s="6">
        <f>IF(AND(YEAR($A254)=2020,MONTH($A254)=6),1,0)</f>
        <v/>
      </c>
    </row>
    <row r="255">
      <c r="A255" s="3" t="n">
        <v>44228</v>
      </c>
      <c r="B255" s="4" t="inlineStr">
        <is>
          <t>2021m2</t>
        </is>
      </c>
      <c r="C255" s="5">
        <f>100*LN(LEVEL!C255)</f>
        <v/>
      </c>
      <c r="D255" s="5">
        <f>100*LN(LEVEL!D255)</f>
        <v/>
      </c>
      <c r="E255" s="5">
        <f>100*LN(LEVEL!E255)</f>
        <v/>
      </c>
      <c r="F255" s="5">
        <f>LEVEL!F255</f>
        <v/>
      </c>
      <c r="G255" s="5">
        <f>LEVEL!G255</f>
        <v/>
      </c>
      <c r="H255" s="5">
        <f>100*LN(LEVEL!H255)</f>
        <v/>
      </c>
      <c r="I255" s="5">
        <f>100*LN(LEVEL!I255)</f>
        <v/>
      </c>
      <c r="J255" s="5">
        <f>100*LN(LEVEL!J255)</f>
        <v/>
      </c>
      <c r="K255" s="5">
        <f>100*LN(LEVEL!K255)</f>
        <v/>
      </c>
      <c r="L255" s="5">
        <f>LEVEL!L255</f>
        <v/>
      </c>
      <c r="M255" s="5">
        <f>LEVEL!M255</f>
        <v/>
      </c>
      <c r="N255" s="5">
        <f>100*LN(LEVEL!N255)</f>
        <v/>
      </c>
      <c r="O255" s="5">
        <f>100*LN(LEVEL!O255)</f>
        <v/>
      </c>
      <c r="P255" s="6">
        <f>IF(AND(YEAR($A255)=2020,MONTH($A255)=3),1,0)</f>
        <v/>
      </c>
      <c r="Q255" s="6">
        <f>IF(AND(YEAR($A255)=2020,MONTH($A255)=4),1,0)</f>
        <v/>
      </c>
      <c r="R255" s="6">
        <f>IF(AND(YEAR($A255)=2020,MONTH($A255)=5),1,0)</f>
        <v/>
      </c>
      <c r="S255" s="6">
        <f>IF(AND(YEAR($A255)=2020,MONTH($A255)=6),1,0)</f>
        <v/>
      </c>
    </row>
    <row r="256">
      <c r="A256" s="3" t="n">
        <v>44256</v>
      </c>
      <c r="B256" s="4" t="inlineStr">
        <is>
          <t>2021m3</t>
        </is>
      </c>
      <c r="C256" s="5">
        <f>100*LN(LEVEL!C256)</f>
        <v/>
      </c>
      <c r="D256" s="5">
        <f>100*LN(LEVEL!D256)</f>
        <v/>
      </c>
      <c r="E256" s="5">
        <f>100*LN(LEVEL!E256)</f>
        <v/>
      </c>
      <c r="F256" s="5">
        <f>LEVEL!F256</f>
        <v/>
      </c>
      <c r="G256" s="5">
        <f>LEVEL!G256</f>
        <v/>
      </c>
      <c r="H256" s="5">
        <f>100*LN(LEVEL!H256)</f>
        <v/>
      </c>
      <c r="I256" s="5">
        <f>100*LN(LEVEL!I256)</f>
        <v/>
      </c>
      <c r="J256" s="5">
        <f>100*LN(LEVEL!J256)</f>
        <v/>
      </c>
      <c r="K256" s="5">
        <f>100*LN(LEVEL!K256)</f>
        <v/>
      </c>
      <c r="L256" s="5">
        <f>LEVEL!L256</f>
        <v/>
      </c>
      <c r="M256" s="5">
        <f>LEVEL!M256</f>
        <v/>
      </c>
      <c r="N256" s="5">
        <f>100*LN(LEVEL!N256)</f>
        <v/>
      </c>
      <c r="O256" s="5">
        <f>100*LN(LEVEL!O256)</f>
        <v/>
      </c>
      <c r="P256" s="6">
        <f>IF(AND(YEAR($A256)=2020,MONTH($A256)=3),1,0)</f>
        <v/>
      </c>
      <c r="Q256" s="6">
        <f>IF(AND(YEAR($A256)=2020,MONTH($A256)=4),1,0)</f>
        <v/>
      </c>
      <c r="R256" s="6">
        <f>IF(AND(YEAR($A256)=2020,MONTH($A256)=5),1,0)</f>
        <v/>
      </c>
      <c r="S256" s="6">
        <f>IF(AND(YEAR($A256)=2020,MONTH($A256)=6),1,0)</f>
        <v/>
      </c>
    </row>
    <row r="257">
      <c r="A257" s="3" t="n">
        <v>44287</v>
      </c>
      <c r="B257" s="4" t="inlineStr">
        <is>
          <t>2021m4</t>
        </is>
      </c>
      <c r="C257" s="5">
        <f>100*LN(LEVEL!C257)</f>
        <v/>
      </c>
      <c r="D257" s="5">
        <f>100*LN(LEVEL!D257)</f>
        <v/>
      </c>
      <c r="E257" s="5">
        <f>100*LN(LEVEL!E257)</f>
        <v/>
      </c>
      <c r="F257" s="5">
        <f>LEVEL!F257</f>
        <v/>
      </c>
      <c r="G257" s="5">
        <f>LEVEL!G257</f>
        <v/>
      </c>
      <c r="H257" s="5">
        <f>100*LN(LEVEL!H257)</f>
        <v/>
      </c>
      <c r="I257" s="5">
        <f>100*LN(LEVEL!I257)</f>
        <v/>
      </c>
      <c r="J257" s="5">
        <f>100*LN(LEVEL!J257)</f>
        <v/>
      </c>
      <c r="K257" s="5">
        <f>100*LN(LEVEL!K257)</f>
        <v/>
      </c>
      <c r="L257" s="5">
        <f>LEVEL!L257</f>
        <v/>
      </c>
      <c r="M257" s="5">
        <f>LEVEL!M257</f>
        <v/>
      </c>
      <c r="N257" s="5">
        <f>100*LN(LEVEL!N257)</f>
        <v/>
      </c>
      <c r="O257" s="5">
        <f>100*LN(LEVEL!O257)</f>
        <v/>
      </c>
      <c r="P257" s="6">
        <f>IF(AND(YEAR($A257)=2020,MONTH($A257)=3),1,0)</f>
        <v/>
      </c>
      <c r="Q257" s="6">
        <f>IF(AND(YEAR($A257)=2020,MONTH($A257)=4),1,0)</f>
        <v/>
      </c>
      <c r="R257" s="6">
        <f>IF(AND(YEAR($A257)=2020,MONTH($A257)=5),1,0)</f>
        <v/>
      </c>
      <c r="S257" s="6">
        <f>IF(AND(YEAR($A257)=2020,MONTH($A257)=6),1,0)</f>
        <v/>
      </c>
    </row>
    <row r="258">
      <c r="A258" s="3" t="n">
        <v>44317</v>
      </c>
      <c r="B258" s="4" t="inlineStr">
        <is>
          <t>2021m5</t>
        </is>
      </c>
      <c r="C258" s="5">
        <f>100*LN(LEVEL!C258)</f>
        <v/>
      </c>
      <c r="D258" s="5">
        <f>100*LN(LEVEL!D258)</f>
        <v/>
      </c>
      <c r="E258" s="5">
        <f>100*LN(LEVEL!E258)</f>
        <v/>
      </c>
      <c r="F258" s="5">
        <f>LEVEL!F258</f>
        <v/>
      </c>
      <c r="G258" s="5">
        <f>LEVEL!G258</f>
        <v/>
      </c>
      <c r="H258" s="5">
        <f>100*LN(LEVEL!H258)</f>
        <v/>
      </c>
      <c r="I258" s="5">
        <f>100*LN(LEVEL!I258)</f>
        <v/>
      </c>
      <c r="J258" s="5">
        <f>100*LN(LEVEL!J258)</f>
        <v/>
      </c>
      <c r="K258" s="5">
        <f>100*LN(LEVEL!K258)</f>
        <v/>
      </c>
      <c r="L258" s="5">
        <f>LEVEL!L258</f>
        <v/>
      </c>
      <c r="M258" s="5">
        <f>LEVEL!M258</f>
        <v/>
      </c>
      <c r="N258" s="5">
        <f>100*LN(LEVEL!N258)</f>
        <v/>
      </c>
      <c r="O258" s="5">
        <f>100*LN(LEVEL!O258)</f>
        <v/>
      </c>
      <c r="P258" s="6">
        <f>IF(AND(YEAR($A258)=2020,MONTH($A258)=3),1,0)</f>
        <v/>
      </c>
      <c r="Q258" s="6">
        <f>IF(AND(YEAR($A258)=2020,MONTH($A258)=4),1,0)</f>
        <v/>
      </c>
      <c r="R258" s="6">
        <f>IF(AND(YEAR($A258)=2020,MONTH($A258)=5),1,0)</f>
        <v/>
      </c>
      <c r="S258" s="6">
        <f>IF(AND(YEAR($A258)=2020,MONTH($A258)=6),1,0)</f>
        <v/>
      </c>
    </row>
    <row r="259">
      <c r="A259" s="3" t="n">
        <v>44348</v>
      </c>
      <c r="B259" s="4" t="inlineStr">
        <is>
          <t>2021m6</t>
        </is>
      </c>
      <c r="C259" s="5">
        <f>100*LN(LEVEL!C259)</f>
        <v/>
      </c>
      <c r="D259" s="5">
        <f>100*LN(LEVEL!D259)</f>
        <v/>
      </c>
      <c r="E259" s="5">
        <f>100*LN(LEVEL!E259)</f>
        <v/>
      </c>
      <c r="F259" s="5">
        <f>LEVEL!F259</f>
        <v/>
      </c>
      <c r="G259" s="5">
        <f>LEVEL!G259</f>
        <v/>
      </c>
      <c r="H259" s="5">
        <f>100*LN(LEVEL!H259)</f>
        <v/>
      </c>
      <c r="I259" s="5">
        <f>100*LN(LEVEL!I259)</f>
        <v/>
      </c>
      <c r="J259" s="5">
        <f>100*LN(LEVEL!J259)</f>
        <v/>
      </c>
      <c r="K259" s="5">
        <f>100*LN(LEVEL!K259)</f>
        <v/>
      </c>
      <c r="L259" s="5">
        <f>LEVEL!L259</f>
        <v/>
      </c>
      <c r="M259" s="5">
        <f>LEVEL!M259</f>
        <v/>
      </c>
      <c r="N259" s="5">
        <f>100*LN(LEVEL!N259)</f>
        <v/>
      </c>
      <c r="O259" s="5">
        <f>100*LN(LEVEL!O259)</f>
        <v/>
      </c>
      <c r="P259" s="6">
        <f>IF(AND(YEAR($A259)=2020,MONTH($A259)=3),1,0)</f>
        <v/>
      </c>
      <c r="Q259" s="6">
        <f>IF(AND(YEAR($A259)=2020,MONTH($A259)=4),1,0)</f>
        <v/>
      </c>
      <c r="R259" s="6">
        <f>IF(AND(YEAR($A259)=2020,MONTH($A259)=5),1,0)</f>
        <v/>
      </c>
      <c r="S259" s="6">
        <f>IF(AND(YEAR($A259)=2020,MONTH($A259)=6),1,0)</f>
        <v/>
      </c>
    </row>
    <row r="260">
      <c r="A260" s="3" t="n">
        <v>44378</v>
      </c>
      <c r="B260" s="4" t="inlineStr">
        <is>
          <t>2021m7</t>
        </is>
      </c>
      <c r="C260" s="5">
        <f>100*LN(LEVEL!C260)</f>
        <v/>
      </c>
      <c r="D260" s="5">
        <f>100*LN(LEVEL!D260)</f>
        <v/>
      </c>
      <c r="E260" s="5">
        <f>100*LN(LEVEL!E260)</f>
        <v/>
      </c>
      <c r="F260" s="5">
        <f>LEVEL!F260</f>
        <v/>
      </c>
      <c r="G260" s="5">
        <f>LEVEL!G260</f>
        <v/>
      </c>
      <c r="H260" s="5">
        <f>100*LN(LEVEL!H260)</f>
        <v/>
      </c>
      <c r="I260" s="5">
        <f>100*LN(LEVEL!I260)</f>
        <v/>
      </c>
      <c r="J260" s="5">
        <f>100*LN(LEVEL!J260)</f>
        <v/>
      </c>
      <c r="K260" s="5">
        <f>100*LN(LEVEL!K260)</f>
        <v/>
      </c>
      <c r="L260" s="5">
        <f>LEVEL!L260</f>
        <v/>
      </c>
      <c r="M260" s="5">
        <f>LEVEL!M260</f>
        <v/>
      </c>
      <c r="N260" s="5">
        <f>100*LN(LEVEL!N260)</f>
        <v/>
      </c>
      <c r="O260" s="5">
        <f>100*LN(LEVEL!O260)</f>
        <v/>
      </c>
      <c r="P260" s="6">
        <f>IF(AND(YEAR($A260)=2020,MONTH($A260)=3),1,0)</f>
        <v/>
      </c>
      <c r="Q260" s="6">
        <f>IF(AND(YEAR($A260)=2020,MONTH($A260)=4),1,0)</f>
        <v/>
      </c>
      <c r="R260" s="6">
        <f>IF(AND(YEAR($A260)=2020,MONTH($A260)=5),1,0)</f>
        <v/>
      </c>
      <c r="S260" s="6">
        <f>IF(AND(YEAR($A260)=2020,MONTH($A260)=6),1,0)</f>
        <v/>
      </c>
    </row>
    <row r="261">
      <c r="A261" s="3" t="n">
        <v>44409</v>
      </c>
      <c r="B261" s="4" t="inlineStr">
        <is>
          <t>2021m8</t>
        </is>
      </c>
      <c r="C261" s="5">
        <f>100*LN(LEVEL!C261)</f>
        <v/>
      </c>
      <c r="D261" s="5">
        <f>100*LN(LEVEL!D261)</f>
        <v/>
      </c>
      <c r="E261" s="5">
        <f>100*LN(LEVEL!E261)</f>
        <v/>
      </c>
      <c r="F261" s="5">
        <f>LEVEL!F261</f>
        <v/>
      </c>
      <c r="G261" s="5">
        <f>LEVEL!G261</f>
        <v/>
      </c>
      <c r="H261" s="5">
        <f>100*LN(LEVEL!H261)</f>
        <v/>
      </c>
      <c r="I261" s="5">
        <f>100*LN(LEVEL!I261)</f>
        <v/>
      </c>
      <c r="J261" s="5">
        <f>100*LN(LEVEL!J261)</f>
        <v/>
      </c>
      <c r="K261" s="5">
        <f>100*LN(LEVEL!K261)</f>
        <v/>
      </c>
      <c r="L261" s="5">
        <f>LEVEL!L261</f>
        <v/>
      </c>
      <c r="M261" s="5">
        <f>LEVEL!M261</f>
        <v/>
      </c>
      <c r="N261" s="5">
        <f>100*LN(LEVEL!N261)</f>
        <v/>
      </c>
      <c r="O261" s="5">
        <f>100*LN(LEVEL!O261)</f>
        <v/>
      </c>
      <c r="P261" s="6">
        <f>IF(AND(YEAR($A261)=2020,MONTH($A261)=3),1,0)</f>
        <v/>
      </c>
      <c r="Q261" s="6">
        <f>IF(AND(YEAR($A261)=2020,MONTH($A261)=4),1,0)</f>
        <v/>
      </c>
      <c r="R261" s="6">
        <f>IF(AND(YEAR($A261)=2020,MONTH($A261)=5),1,0)</f>
        <v/>
      </c>
      <c r="S261" s="6">
        <f>IF(AND(YEAR($A261)=2020,MONTH($A261)=6),1,0)</f>
        <v/>
      </c>
    </row>
    <row r="262">
      <c r="A262" s="3" t="n">
        <v>44440</v>
      </c>
      <c r="B262" s="4" t="inlineStr">
        <is>
          <t>2021m9</t>
        </is>
      </c>
      <c r="C262" s="5">
        <f>100*LN(LEVEL!C262)</f>
        <v/>
      </c>
      <c r="D262" s="5">
        <f>100*LN(LEVEL!D262)</f>
        <v/>
      </c>
      <c r="E262" s="5">
        <f>100*LN(LEVEL!E262)</f>
        <v/>
      </c>
      <c r="F262" s="5">
        <f>LEVEL!F262</f>
        <v/>
      </c>
      <c r="G262" s="5">
        <f>LEVEL!G262</f>
        <v/>
      </c>
      <c r="H262" s="5">
        <f>100*LN(LEVEL!H262)</f>
        <v/>
      </c>
      <c r="I262" s="5">
        <f>100*LN(LEVEL!I262)</f>
        <v/>
      </c>
      <c r="J262" s="5">
        <f>100*LN(LEVEL!J262)</f>
        <v/>
      </c>
      <c r="K262" s="5">
        <f>100*LN(LEVEL!K262)</f>
        <v/>
      </c>
      <c r="L262" s="5">
        <f>LEVEL!L262</f>
        <v/>
      </c>
      <c r="M262" s="5">
        <f>LEVEL!M262</f>
        <v/>
      </c>
      <c r="N262" s="5">
        <f>100*LN(LEVEL!N262)</f>
        <v/>
      </c>
      <c r="O262" s="5">
        <f>100*LN(LEVEL!O262)</f>
        <v/>
      </c>
      <c r="P262" s="6">
        <f>IF(AND(YEAR($A262)=2020,MONTH($A262)=3),1,0)</f>
        <v/>
      </c>
      <c r="Q262" s="6">
        <f>IF(AND(YEAR($A262)=2020,MONTH($A262)=4),1,0)</f>
        <v/>
      </c>
      <c r="R262" s="6">
        <f>IF(AND(YEAR($A262)=2020,MONTH($A262)=5),1,0)</f>
        <v/>
      </c>
      <c r="S262" s="6">
        <f>IF(AND(YEAR($A262)=2020,MONTH($A262)=6),1,0)</f>
        <v/>
      </c>
    </row>
    <row r="263">
      <c r="A263" s="3" t="n">
        <v>44470</v>
      </c>
      <c r="B263" s="4" t="inlineStr">
        <is>
          <t>2021m10</t>
        </is>
      </c>
      <c r="C263" s="5">
        <f>100*LN(LEVEL!C263)</f>
        <v/>
      </c>
      <c r="D263" s="5">
        <f>100*LN(LEVEL!D263)</f>
        <v/>
      </c>
      <c r="E263" s="5">
        <f>100*LN(LEVEL!E263)</f>
        <v/>
      </c>
      <c r="F263" s="5">
        <f>LEVEL!F263</f>
        <v/>
      </c>
      <c r="G263" s="5">
        <f>LEVEL!G263</f>
        <v/>
      </c>
      <c r="H263" s="5">
        <f>100*LN(LEVEL!H263)</f>
        <v/>
      </c>
      <c r="I263" s="5">
        <f>100*LN(LEVEL!I263)</f>
        <v/>
      </c>
      <c r="J263" s="5">
        <f>100*LN(LEVEL!J263)</f>
        <v/>
      </c>
      <c r="K263" s="5">
        <f>100*LN(LEVEL!K263)</f>
        <v/>
      </c>
      <c r="L263" s="5">
        <f>LEVEL!L263</f>
        <v/>
      </c>
      <c r="M263" s="5">
        <f>LEVEL!M263</f>
        <v/>
      </c>
      <c r="N263" s="5">
        <f>100*LN(LEVEL!N263)</f>
        <v/>
      </c>
      <c r="O263" s="5">
        <f>100*LN(LEVEL!O263)</f>
        <v/>
      </c>
      <c r="P263" s="6">
        <f>IF(AND(YEAR($A263)=2020,MONTH($A263)=3),1,0)</f>
        <v/>
      </c>
      <c r="Q263" s="6">
        <f>IF(AND(YEAR($A263)=2020,MONTH($A263)=4),1,0)</f>
        <v/>
      </c>
      <c r="R263" s="6">
        <f>IF(AND(YEAR($A263)=2020,MONTH($A263)=5),1,0)</f>
        <v/>
      </c>
      <c r="S263" s="6">
        <f>IF(AND(YEAR($A263)=2020,MONTH($A263)=6),1,0)</f>
        <v/>
      </c>
    </row>
    <row r="264">
      <c r="A264" s="3" t="n">
        <v>44501</v>
      </c>
      <c r="B264" s="4" t="inlineStr">
        <is>
          <t>2021m11</t>
        </is>
      </c>
      <c r="C264" s="5">
        <f>100*LN(LEVEL!C264)</f>
        <v/>
      </c>
      <c r="D264" s="5">
        <f>100*LN(LEVEL!D264)</f>
        <v/>
      </c>
      <c r="E264" s="5">
        <f>100*LN(LEVEL!E264)</f>
        <v/>
      </c>
      <c r="F264" s="5">
        <f>LEVEL!F264</f>
        <v/>
      </c>
      <c r="G264" s="5">
        <f>LEVEL!G264</f>
        <v/>
      </c>
      <c r="H264" s="5">
        <f>100*LN(LEVEL!H264)</f>
        <v/>
      </c>
      <c r="I264" s="5">
        <f>100*LN(LEVEL!I264)</f>
        <v/>
      </c>
      <c r="J264" s="5">
        <f>100*LN(LEVEL!J264)</f>
        <v/>
      </c>
      <c r="K264" s="5">
        <f>100*LN(LEVEL!K264)</f>
        <v/>
      </c>
      <c r="L264" s="5">
        <f>LEVEL!L264</f>
        <v/>
      </c>
      <c r="M264" s="5">
        <f>LEVEL!M264</f>
        <v/>
      </c>
      <c r="N264" s="5">
        <f>100*LN(LEVEL!N264)</f>
        <v/>
      </c>
      <c r="O264" s="5">
        <f>100*LN(LEVEL!O264)</f>
        <v/>
      </c>
      <c r="P264" s="6">
        <f>IF(AND(YEAR($A264)=2020,MONTH($A264)=3),1,0)</f>
        <v/>
      </c>
      <c r="Q264" s="6">
        <f>IF(AND(YEAR($A264)=2020,MONTH($A264)=4),1,0)</f>
        <v/>
      </c>
      <c r="R264" s="6">
        <f>IF(AND(YEAR($A264)=2020,MONTH($A264)=5),1,0)</f>
        <v/>
      </c>
      <c r="S264" s="6">
        <f>IF(AND(YEAR($A264)=2020,MONTH($A264)=6),1,0)</f>
        <v/>
      </c>
    </row>
    <row r="265">
      <c r="A265" s="3" t="n">
        <v>44531</v>
      </c>
      <c r="B265" s="4" t="inlineStr">
        <is>
          <t>2021m12</t>
        </is>
      </c>
      <c r="C265" s="5">
        <f>100*LN(LEVEL!C265)</f>
        <v/>
      </c>
      <c r="D265" s="5">
        <f>100*LN(LEVEL!D265)</f>
        <v/>
      </c>
      <c r="E265" s="5">
        <f>100*LN(LEVEL!E265)</f>
        <v/>
      </c>
      <c r="F265" s="5">
        <f>LEVEL!F265</f>
        <v/>
      </c>
      <c r="G265" s="5">
        <f>LEVEL!G265</f>
        <v/>
      </c>
      <c r="H265" s="5">
        <f>100*LN(LEVEL!H265)</f>
        <v/>
      </c>
      <c r="I265" s="5">
        <f>100*LN(LEVEL!I265)</f>
        <v/>
      </c>
      <c r="J265" s="5">
        <f>100*LN(LEVEL!J265)</f>
        <v/>
      </c>
      <c r="K265" s="5">
        <f>100*LN(LEVEL!K265)</f>
        <v/>
      </c>
      <c r="L265" s="5">
        <f>LEVEL!L265</f>
        <v/>
      </c>
      <c r="M265" s="5">
        <f>LEVEL!M265</f>
        <v/>
      </c>
      <c r="N265" s="5">
        <f>100*LN(LEVEL!N265)</f>
        <v/>
      </c>
      <c r="O265" s="5">
        <f>100*LN(LEVEL!O265)</f>
        <v/>
      </c>
      <c r="P265" s="6">
        <f>IF(AND(YEAR($A265)=2020,MONTH($A265)=3),1,0)</f>
        <v/>
      </c>
      <c r="Q265" s="6">
        <f>IF(AND(YEAR($A265)=2020,MONTH($A265)=4),1,0)</f>
        <v/>
      </c>
      <c r="R265" s="6">
        <f>IF(AND(YEAR($A265)=2020,MONTH($A265)=5),1,0)</f>
        <v/>
      </c>
      <c r="S265" s="6">
        <f>IF(AND(YEAR($A265)=2020,MONTH($A265)=6),1,0)</f>
        <v/>
      </c>
    </row>
    <row r="266">
      <c r="A266" s="3" t="n">
        <v>44562</v>
      </c>
      <c r="B266" s="4" t="inlineStr">
        <is>
          <t>2022m1</t>
        </is>
      </c>
      <c r="C266" s="5">
        <f>100*LN(LEVEL!C266)</f>
        <v/>
      </c>
      <c r="D266" s="5">
        <f>100*LN(LEVEL!D266)</f>
        <v/>
      </c>
      <c r="E266" s="5">
        <f>100*LN(LEVEL!E266)</f>
        <v/>
      </c>
      <c r="F266" s="5">
        <f>LEVEL!F266</f>
        <v/>
      </c>
      <c r="G266" s="5">
        <f>LEVEL!G266</f>
        <v/>
      </c>
      <c r="H266" s="5">
        <f>100*LN(LEVEL!H266)</f>
        <v/>
      </c>
      <c r="I266" s="5">
        <f>100*LN(LEVEL!I266)</f>
        <v/>
      </c>
      <c r="J266" s="5">
        <f>100*LN(LEVEL!J266)</f>
        <v/>
      </c>
      <c r="K266" s="5">
        <f>100*LN(LEVEL!K266)</f>
        <v/>
      </c>
      <c r="L266" s="5">
        <f>LEVEL!L266</f>
        <v/>
      </c>
      <c r="M266" s="5">
        <f>LEVEL!M266</f>
        <v/>
      </c>
      <c r="N266" s="5">
        <f>100*LN(LEVEL!N266)</f>
        <v/>
      </c>
      <c r="O266" s="5">
        <f>100*LN(LEVEL!O266)</f>
        <v/>
      </c>
      <c r="P266" s="6">
        <f>IF(AND(YEAR($A266)=2020,MONTH($A266)=3),1,0)</f>
        <v/>
      </c>
      <c r="Q266" s="6">
        <f>IF(AND(YEAR($A266)=2020,MONTH($A266)=4),1,0)</f>
        <v/>
      </c>
      <c r="R266" s="6">
        <f>IF(AND(YEAR($A266)=2020,MONTH($A266)=5),1,0)</f>
        <v/>
      </c>
      <c r="S266" s="6">
        <f>IF(AND(YEAR($A266)=2020,MONTH($A266)=6),1,0)</f>
        <v/>
      </c>
    </row>
    <row r="267">
      <c r="A267" s="3" t="n">
        <v>44593</v>
      </c>
      <c r="B267" s="4" t="inlineStr">
        <is>
          <t>2022m2</t>
        </is>
      </c>
      <c r="C267" s="5">
        <f>100*LN(LEVEL!C267)</f>
        <v/>
      </c>
      <c r="D267" s="5">
        <f>100*LN(LEVEL!D267)</f>
        <v/>
      </c>
      <c r="E267" s="5">
        <f>100*LN(LEVEL!E267)</f>
        <v/>
      </c>
      <c r="F267" s="5">
        <f>LEVEL!F267</f>
        <v/>
      </c>
      <c r="G267" s="5">
        <f>LEVEL!G267</f>
        <v/>
      </c>
      <c r="H267" s="5">
        <f>100*LN(LEVEL!H267)</f>
        <v/>
      </c>
      <c r="I267" s="5">
        <f>100*LN(LEVEL!I267)</f>
        <v/>
      </c>
      <c r="J267" s="5">
        <f>100*LN(LEVEL!J267)</f>
        <v/>
      </c>
      <c r="K267" s="5">
        <f>100*LN(LEVEL!K267)</f>
        <v/>
      </c>
      <c r="L267" s="5">
        <f>LEVEL!L267</f>
        <v/>
      </c>
      <c r="M267" s="5">
        <f>LEVEL!M267</f>
        <v/>
      </c>
      <c r="N267" s="5">
        <f>100*LN(LEVEL!N267)</f>
        <v/>
      </c>
      <c r="O267" s="5">
        <f>100*LN(LEVEL!O267)</f>
        <v/>
      </c>
      <c r="P267" s="6">
        <f>IF(AND(YEAR($A267)=2020,MONTH($A267)=3),1,0)</f>
        <v/>
      </c>
      <c r="Q267" s="6">
        <f>IF(AND(YEAR($A267)=2020,MONTH($A267)=4),1,0)</f>
        <v/>
      </c>
      <c r="R267" s="6">
        <f>IF(AND(YEAR($A267)=2020,MONTH($A267)=5),1,0)</f>
        <v/>
      </c>
      <c r="S267" s="6">
        <f>IF(AND(YEAR($A267)=2020,MONTH($A267)=6),1,0)</f>
        <v/>
      </c>
    </row>
    <row r="268">
      <c r="A268" s="3" t="n">
        <v>44621</v>
      </c>
      <c r="B268" s="4" t="inlineStr">
        <is>
          <t>2022m3</t>
        </is>
      </c>
      <c r="C268" s="5">
        <f>100*LN(LEVEL!C268)</f>
        <v/>
      </c>
      <c r="D268" s="5">
        <f>100*LN(LEVEL!D268)</f>
        <v/>
      </c>
      <c r="E268" s="5">
        <f>100*LN(LEVEL!E268)</f>
        <v/>
      </c>
      <c r="F268" s="5">
        <f>LEVEL!F268</f>
        <v/>
      </c>
      <c r="G268" s="5">
        <f>LEVEL!G268</f>
        <v/>
      </c>
      <c r="H268" s="5">
        <f>100*LN(LEVEL!H268)</f>
        <v/>
      </c>
      <c r="I268" s="5">
        <f>100*LN(LEVEL!I268)</f>
        <v/>
      </c>
      <c r="J268" s="5">
        <f>100*LN(LEVEL!J268)</f>
        <v/>
      </c>
      <c r="K268" s="5">
        <f>100*LN(LEVEL!K268)</f>
        <v/>
      </c>
      <c r="L268" s="5">
        <f>LEVEL!L268</f>
        <v/>
      </c>
      <c r="M268" s="5">
        <f>LEVEL!M268</f>
        <v/>
      </c>
      <c r="N268" s="5">
        <f>100*LN(LEVEL!N268)</f>
        <v/>
      </c>
      <c r="O268" s="5">
        <f>100*LN(LEVEL!O268)</f>
        <v/>
      </c>
      <c r="P268" s="6">
        <f>IF(AND(YEAR($A268)=2020,MONTH($A268)=3),1,0)</f>
        <v/>
      </c>
      <c r="Q268" s="6">
        <f>IF(AND(YEAR($A268)=2020,MONTH($A268)=4),1,0)</f>
        <v/>
      </c>
      <c r="R268" s="6">
        <f>IF(AND(YEAR($A268)=2020,MONTH($A268)=5),1,0)</f>
        <v/>
      </c>
      <c r="S268" s="6">
        <f>IF(AND(YEAR($A268)=2020,MONTH($A268)=6),1,0)</f>
        <v/>
      </c>
    </row>
    <row r="269">
      <c r="A269" s="3" t="n">
        <v>44652</v>
      </c>
      <c r="B269" s="4" t="inlineStr">
        <is>
          <t>2022m4</t>
        </is>
      </c>
      <c r="C269" s="5">
        <f>100*LN(LEVEL!C269)</f>
        <v/>
      </c>
      <c r="D269" s="5">
        <f>100*LN(LEVEL!D269)</f>
        <v/>
      </c>
      <c r="E269" s="5">
        <f>100*LN(LEVEL!E269)</f>
        <v/>
      </c>
      <c r="F269" s="5">
        <f>LEVEL!F269</f>
        <v/>
      </c>
      <c r="G269" s="5">
        <f>LEVEL!G269</f>
        <v/>
      </c>
      <c r="H269" s="5">
        <f>100*LN(LEVEL!H269)</f>
        <v/>
      </c>
      <c r="I269" s="5">
        <f>100*LN(LEVEL!I269)</f>
        <v/>
      </c>
      <c r="J269" s="5">
        <f>100*LN(LEVEL!J269)</f>
        <v/>
      </c>
      <c r="K269" s="5">
        <f>100*LN(LEVEL!K269)</f>
        <v/>
      </c>
      <c r="L269" s="5">
        <f>LEVEL!L269</f>
        <v/>
      </c>
      <c r="M269" s="5">
        <f>LEVEL!M269</f>
        <v/>
      </c>
      <c r="N269" s="5">
        <f>100*LN(LEVEL!N269)</f>
        <v/>
      </c>
      <c r="O269" s="5">
        <f>100*LN(LEVEL!O269)</f>
        <v/>
      </c>
      <c r="P269" s="6">
        <f>IF(AND(YEAR($A269)=2020,MONTH($A269)=3),1,0)</f>
        <v/>
      </c>
      <c r="Q269" s="6">
        <f>IF(AND(YEAR($A269)=2020,MONTH($A269)=4),1,0)</f>
        <v/>
      </c>
      <c r="R269" s="6">
        <f>IF(AND(YEAR($A269)=2020,MONTH($A269)=5),1,0)</f>
        <v/>
      </c>
      <c r="S269" s="6">
        <f>IF(AND(YEAR($A269)=2020,MONTH($A269)=6),1,0)</f>
        <v/>
      </c>
    </row>
    <row r="270">
      <c r="A270" s="3" t="n">
        <v>44682</v>
      </c>
      <c r="B270" s="4" t="inlineStr">
        <is>
          <t>2022m5</t>
        </is>
      </c>
      <c r="C270" s="5">
        <f>100*LN(LEVEL!C270)</f>
        <v/>
      </c>
      <c r="D270" s="5">
        <f>100*LN(LEVEL!D270)</f>
        <v/>
      </c>
      <c r="E270" s="5">
        <f>100*LN(LEVEL!E270)</f>
        <v/>
      </c>
      <c r="F270" s="5">
        <f>LEVEL!F270</f>
        <v/>
      </c>
      <c r="G270" s="5">
        <f>LEVEL!G270</f>
        <v/>
      </c>
      <c r="H270" s="5">
        <f>100*LN(LEVEL!H270)</f>
        <v/>
      </c>
      <c r="I270" s="5">
        <f>100*LN(LEVEL!I270)</f>
        <v/>
      </c>
      <c r="J270" s="5">
        <f>100*LN(LEVEL!J270)</f>
        <v/>
      </c>
      <c r="K270" s="5">
        <f>100*LN(LEVEL!K270)</f>
        <v/>
      </c>
      <c r="L270" s="5">
        <f>LEVEL!L270</f>
        <v/>
      </c>
      <c r="M270" s="5">
        <f>LEVEL!M270</f>
        <v/>
      </c>
      <c r="N270" s="5">
        <f>100*LN(LEVEL!N270)</f>
        <v/>
      </c>
      <c r="O270" s="5">
        <f>100*LN(LEVEL!O270)</f>
        <v/>
      </c>
      <c r="P270" s="6">
        <f>IF(AND(YEAR($A270)=2020,MONTH($A270)=3),1,0)</f>
        <v/>
      </c>
      <c r="Q270" s="6">
        <f>IF(AND(YEAR($A270)=2020,MONTH($A270)=4),1,0)</f>
        <v/>
      </c>
      <c r="R270" s="6">
        <f>IF(AND(YEAR($A270)=2020,MONTH($A270)=5),1,0)</f>
        <v/>
      </c>
      <c r="S270" s="6">
        <f>IF(AND(YEAR($A270)=2020,MONTH($A270)=6),1,0)</f>
        <v/>
      </c>
    </row>
    <row r="271">
      <c r="A271" s="3" t="n">
        <v>44713</v>
      </c>
      <c r="B271" s="4" t="inlineStr">
        <is>
          <t>2022m6</t>
        </is>
      </c>
      <c r="C271" s="5">
        <f>100*LN(LEVEL!C271)</f>
        <v/>
      </c>
      <c r="D271" s="5">
        <f>100*LN(LEVEL!D271)</f>
        <v/>
      </c>
      <c r="E271" s="5">
        <f>100*LN(LEVEL!E271)</f>
        <v/>
      </c>
      <c r="F271" s="5">
        <f>LEVEL!F271</f>
        <v/>
      </c>
      <c r="G271" s="5">
        <f>LEVEL!G271</f>
        <v/>
      </c>
      <c r="H271" s="5">
        <f>100*LN(LEVEL!H271)</f>
        <v/>
      </c>
      <c r="I271" s="5">
        <f>100*LN(LEVEL!I271)</f>
        <v/>
      </c>
      <c r="J271" s="5">
        <f>100*LN(LEVEL!J271)</f>
        <v/>
      </c>
      <c r="K271" s="5">
        <f>100*LN(LEVEL!K271)</f>
        <v/>
      </c>
      <c r="L271" s="5">
        <f>LEVEL!L271</f>
        <v/>
      </c>
      <c r="M271" s="5">
        <f>LEVEL!M271</f>
        <v/>
      </c>
      <c r="N271" s="5">
        <f>100*LN(LEVEL!N271)</f>
        <v/>
      </c>
      <c r="O271" s="5">
        <f>100*LN(LEVEL!O271)</f>
        <v/>
      </c>
      <c r="P271" s="6">
        <f>IF(AND(YEAR($A271)=2020,MONTH($A271)=3),1,0)</f>
        <v/>
      </c>
      <c r="Q271" s="6">
        <f>IF(AND(YEAR($A271)=2020,MONTH($A271)=4),1,0)</f>
        <v/>
      </c>
      <c r="R271" s="6">
        <f>IF(AND(YEAR($A271)=2020,MONTH($A271)=5),1,0)</f>
        <v/>
      </c>
      <c r="S271" s="6">
        <f>IF(AND(YEAR($A271)=2020,MONTH($A271)=6),1,0)</f>
        <v/>
      </c>
    </row>
    <row r="272">
      <c r="A272" s="3" t="n">
        <v>44743</v>
      </c>
      <c r="B272" s="4" t="inlineStr">
        <is>
          <t>2022m7</t>
        </is>
      </c>
      <c r="C272" s="5">
        <f>100*LN(LEVEL!C272)</f>
        <v/>
      </c>
      <c r="D272" s="5">
        <f>100*LN(LEVEL!D272)</f>
        <v/>
      </c>
      <c r="E272" s="5">
        <f>100*LN(LEVEL!E272)</f>
        <v/>
      </c>
      <c r="F272" s="5">
        <f>LEVEL!F272</f>
        <v/>
      </c>
      <c r="G272" s="5">
        <f>LEVEL!G272</f>
        <v/>
      </c>
      <c r="H272" s="5">
        <f>100*LN(LEVEL!H272)</f>
        <v/>
      </c>
      <c r="I272" s="5">
        <f>100*LN(LEVEL!I272)</f>
        <v/>
      </c>
      <c r="J272" s="5">
        <f>100*LN(LEVEL!J272)</f>
        <v/>
      </c>
      <c r="K272" s="5">
        <f>100*LN(LEVEL!K272)</f>
        <v/>
      </c>
      <c r="L272" s="5">
        <f>LEVEL!L272</f>
        <v/>
      </c>
      <c r="M272" s="5">
        <f>LEVEL!M272</f>
        <v/>
      </c>
      <c r="N272" s="5">
        <f>100*LN(LEVEL!N272)</f>
        <v/>
      </c>
      <c r="O272" s="5">
        <f>100*LN(LEVEL!O272)</f>
        <v/>
      </c>
      <c r="P272" s="6">
        <f>IF(AND(YEAR($A272)=2020,MONTH($A272)=3),1,0)</f>
        <v/>
      </c>
      <c r="Q272" s="6">
        <f>IF(AND(YEAR($A272)=2020,MONTH($A272)=4),1,0)</f>
        <v/>
      </c>
      <c r="R272" s="6">
        <f>IF(AND(YEAR($A272)=2020,MONTH($A272)=5),1,0)</f>
        <v/>
      </c>
      <c r="S272" s="6">
        <f>IF(AND(YEAR($A272)=2020,MONTH($A272)=6),1,0)</f>
        <v/>
      </c>
    </row>
    <row r="273">
      <c r="A273" s="3" t="n">
        <v>44774</v>
      </c>
      <c r="B273" s="4" t="inlineStr">
        <is>
          <t>2022m8</t>
        </is>
      </c>
      <c r="C273" s="5">
        <f>100*LN(LEVEL!C273)</f>
        <v/>
      </c>
      <c r="D273" s="5">
        <f>100*LN(LEVEL!D273)</f>
        <v/>
      </c>
      <c r="E273" s="5">
        <f>100*LN(LEVEL!E273)</f>
        <v/>
      </c>
      <c r="F273" s="5">
        <f>LEVEL!F273</f>
        <v/>
      </c>
      <c r="G273" s="5">
        <f>LEVEL!G273</f>
        <v/>
      </c>
      <c r="H273" s="5">
        <f>100*LN(LEVEL!H273)</f>
        <v/>
      </c>
      <c r="I273" s="5">
        <f>100*LN(LEVEL!I273)</f>
        <v/>
      </c>
      <c r="J273" s="5">
        <f>100*LN(LEVEL!J273)</f>
        <v/>
      </c>
      <c r="K273" s="5">
        <f>100*LN(LEVEL!K273)</f>
        <v/>
      </c>
      <c r="L273" s="5">
        <f>LEVEL!L273</f>
        <v/>
      </c>
      <c r="M273" s="5">
        <f>LEVEL!M273</f>
        <v/>
      </c>
      <c r="N273" s="5">
        <f>100*LN(LEVEL!N273)</f>
        <v/>
      </c>
      <c r="O273" s="5">
        <f>100*LN(LEVEL!O273)</f>
        <v/>
      </c>
      <c r="P273" s="6">
        <f>IF(AND(YEAR($A273)=2020,MONTH($A273)=3),1,0)</f>
        <v/>
      </c>
      <c r="Q273" s="6">
        <f>IF(AND(YEAR($A273)=2020,MONTH($A273)=4),1,0)</f>
        <v/>
      </c>
      <c r="R273" s="6">
        <f>IF(AND(YEAR($A273)=2020,MONTH($A273)=5),1,0)</f>
        <v/>
      </c>
      <c r="S273" s="6">
        <f>IF(AND(YEAR($A273)=2020,MONTH($A273)=6),1,0)</f>
        <v/>
      </c>
    </row>
    <row r="274">
      <c r="A274" s="3" t="n">
        <v>44805</v>
      </c>
      <c r="B274" s="4" t="inlineStr">
        <is>
          <t>2022m9</t>
        </is>
      </c>
      <c r="C274" s="5">
        <f>100*LN(LEVEL!C274)</f>
        <v/>
      </c>
      <c r="D274" s="5">
        <f>100*LN(LEVEL!D274)</f>
        <v/>
      </c>
      <c r="E274" s="5">
        <f>100*LN(LEVEL!E274)</f>
        <v/>
      </c>
      <c r="F274" s="5">
        <f>LEVEL!F274</f>
        <v/>
      </c>
      <c r="G274" s="5">
        <f>LEVEL!G274</f>
        <v/>
      </c>
      <c r="H274" s="5">
        <f>100*LN(LEVEL!H274)</f>
        <v/>
      </c>
      <c r="I274" s="5">
        <f>100*LN(LEVEL!I274)</f>
        <v/>
      </c>
      <c r="J274" s="5">
        <f>100*LN(LEVEL!J274)</f>
        <v/>
      </c>
      <c r="K274" s="5">
        <f>100*LN(LEVEL!K274)</f>
        <v/>
      </c>
      <c r="L274" s="5">
        <f>LEVEL!L274</f>
        <v/>
      </c>
      <c r="M274" s="5">
        <f>LEVEL!M274</f>
        <v/>
      </c>
      <c r="N274" s="5">
        <f>100*LN(LEVEL!N274)</f>
        <v/>
      </c>
      <c r="O274" s="5">
        <f>100*LN(LEVEL!O274)</f>
        <v/>
      </c>
      <c r="P274" s="6">
        <f>IF(AND(YEAR($A274)=2020,MONTH($A274)=3),1,0)</f>
        <v/>
      </c>
      <c r="Q274" s="6">
        <f>IF(AND(YEAR($A274)=2020,MONTH($A274)=4),1,0)</f>
        <v/>
      </c>
      <c r="R274" s="6">
        <f>IF(AND(YEAR($A274)=2020,MONTH($A274)=5),1,0)</f>
        <v/>
      </c>
      <c r="S274" s="6">
        <f>IF(AND(YEAR($A274)=2020,MONTH($A274)=6),1,0)</f>
        <v/>
      </c>
    </row>
    <row r="275">
      <c r="A275" s="3" t="n">
        <v>44835</v>
      </c>
      <c r="B275" s="4" t="inlineStr">
        <is>
          <t>2022m10</t>
        </is>
      </c>
      <c r="C275" s="5">
        <f>100*LN(LEVEL!C275)</f>
        <v/>
      </c>
      <c r="D275" s="5">
        <f>100*LN(LEVEL!D275)</f>
        <v/>
      </c>
      <c r="E275" s="5">
        <f>100*LN(LEVEL!E275)</f>
        <v/>
      </c>
      <c r="F275" s="5">
        <f>LEVEL!F275</f>
        <v/>
      </c>
      <c r="G275" s="5">
        <f>LEVEL!G275</f>
        <v/>
      </c>
      <c r="H275" s="5">
        <f>100*LN(LEVEL!H275)</f>
        <v/>
      </c>
      <c r="I275" s="5">
        <f>100*LN(LEVEL!I275)</f>
        <v/>
      </c>
      <c r="J275" s="5">
        <f>100*LN(LEVEL!J275)</f>
        <v/>
      </c>
      <c r="K275" s="5">
        <f>100*LN(LEVEL!K275)</f>
        <v/>
      </c>
      <c r="L275" s="5">
        <f>LEVEL!L275</f>
        <v/>
      </c>
      <c r="M275" s="5">
        <f>LEVEL!M275</f>
        <v/>
      </c>
      <c r="N275" s="5">
        <f>100*LN(LEVEL!N275)</f>
        <v/>
      </c>
      <c r="O275" s="5">
        <f>100*LN(LEVEL!O275)</f>
        <v/>
      </c>
      <c r="P275" s="6">
        <f>IF(AND(YEAR($A275)=2020,MONTH($A275)=3),1,0)</f>
        <v/>
      </c>
      <c r="Q275" s="6">
        <f>IF(AND(YEAR($A275)=2020,MONTH($A275)=4),1,0)</f>
        <v/>
      </c>
      <c r="R275" s="6">
        <f>IF(AND(YEAR($A275)=2020,MONTH($A275)=5),1,0)</f>
        <v/>
      </c>
      <c r="S275" s="6">
        <f>IF(AND(YEAR($A275)=2020,MONTH($A275)=6),1,0)</f>
        <v/>
      </c>
    </row>
    <row r="276">
      <c r="A276" s="3" t="n">
        <v>44866</v>
      </c>
      <c r="B276" s="4" t="inlineStr">
        <is>
          <t>2022m11</t>
        </is>
      </c>
      <c r="C276" s="5">
        <f>100*LN(LEVEL!C276)</f>
        <v/>
      </c>
      <c r="D276" s="5">
        <f>100*LN(LEVEL!D276)</f>
        <v/>
      </c>
      <c r="E276" s="5">
        <f>100*LN(LEVEL!E276)</f>
        <v/>
      </c>
      <c r="F276" s="5">
        <f>LEVEL!F276</f>
        <v/>
      </c>
      <c r="G276" s="5">
        <f>LEVEL!G276</f>
        <v/>
      </c>
      <c r="H276" s="5">
        <f>100*LN(LEVEL!H276)</f>
        <v/>
      </c>
      <c r="I276" s="5">
        <f>100*LN(LEVEL!I276)</f>
        <v/>
      </c>
      <c r="J276" s="5">
        <f>100*LN(LEVEL!J276)</f>
        <v/>
      </c>
      <c r="K276" s="5">
        <f>100*LN(LEVEL!K276)</f>
        <v/>
      </c>
      <c r="L276" s="5">
        <f>LEVEL!L276</f>
        <v/>
      </c>
      <c r="M276" s="5">
        <f>LEVEL!M276</f>
        <v/>
      </c>
      <c r="N276" s="5">
        <f>100*LN(LEVEL!N276)</f>
        <v/>
      </c>
      <c r="O276" s="5">
        <f>100*LN(LEVEL!O276)</f>
        <v/>
      </c>
      <c r="P276" s="6">
        <f>IF(AND(YEAR($A276)=2020,MONTH($A276)=3),1,0)</f>
        <v/>
      </c>
      <c r="Q276" s="6">
        <f>IF(AND(YEAR($A276)=2020,MONTH($A276)=4),1,0)</f>
        <v/>
      </c>
      <c r="R276" s="6">
        <f>IF(AND(YEAR($A276)=2020,MONTH($A276)=5),1,0)</f>
        <v/>
      </c>
      <c r="S276" s="6">
        <f>IF(AND(YEAR($A276)=2020,MONTH($A276)=6),1,0)</f>
        <v/>
      </c>
    </row>
    <row r="277">
      <c r="A277" s="3" t="n">
        <v>44896</v>
      </c>
      <c r="B277" s="4" t="inlineStr">
        <is>
          <t>2022m12</t>
        </is>
      </c>
      <c r="C277" s="5">
        <f>100*LN(LEVEL!C277)</f>
        <v/>
      </c>
      <c r="D277" s="5">
        <f>100*LN(LEVEL!D277)</f>
        <v/>
      </c>
      <c r="E277" s="5">
        <f>100*LN(LEVEL!E277)</f>
        <v/>
      </c>
      <c r="F277" s="5">
        <f>LEVEL!F277</f>
        <v/>
      </c>
      <c r="G277" s="5">
        <f>LEVEL!G277</f>
        <v/>
      </c>
      <c r="H277" s="5">
        <f>100*LN(LEVEL!H277)</f>
        <v/>
      </c>
      <c r="I277" s="5">
        <f>100*LN(LEVEL!I277)</f>
        <v/>
      </c>
      <c r="J277" s="5">
        <f>100*LN(LEVEL!J277)</f>
        <v/>
      </c>
      <c r="K277" s="5">
        <f>100*LN(LEVEL!K277)</f>
        <v/>
      </c>
      <c r="L277" s="5">
        <f>LEVEL!L277</f>
        <v/>
      </c>
      <c r="M277" s="5">
        <f>LEVEL!M277</f>
        <v/>
      </c>
      <c r="N277" s="5">
        <f>100*LN(LEVEL!N277)</f>
        <v/>
      </c>
      <c r="O277" s="5">
        <f>100*LN(LEVEL!O277)</f>
        <v/>
      </c>
      <c r="P277" s="6">
        <f>IF(AND(YEAR($A277)=2020,MONTH($A277)=3),1,0)</f>
        <v/>
      </c>
      <c r="Q277" s="6">
        <f>IF(AND(YEAR($A277)=2020,MONTH($A277)=4),1,0)</f>
        <v/>
      </c>
      <c r="R277" s="6">
        <f>IF(AND(YEAR($A277)=2020,MONTH($A277)=5),1,0)</f>
        <v/>
      </c>
      <c r="S277" s="6">
        <f>IF(AND(YEAR($A277)=2020,MONTH($A277)=6),1,0)</f>
        <v/>
      </c>
    </row>
    <row r="278">
      <c r="A278" s="3" t="n">
        <v>44927</v>
      </c>
      <c r="B278" s="4" t="inlineStr">
        <is>
          <t>2023m1</t>
        </is>
      </c>
      <c r="C278" s="5">
        <f>100*LN(LEVEL!C278)</f>
        <v/>
      </c>
      <c r="D278" s="5">
        <f>100*LN(LEVEL!D278)</f>
        <v/>
      </c>
      <c r="E278" s="5">
        <f>100*LN(LEVEL!E278)</f>
        <v/>
      </c>
      <c r="F278" s="5">
        <f>LEVEL!F278</f>
        <v/>
      </c>
      <c r="G278" s="5">
        <f>LEVEL!G278</f>
        <v/>
      </c>
      <c r="H278" s="5">
        <f>100*LN(LEVEL!H278)</f>
        <v/>
      </c>
      <c r="I278" s="5">
        <f>100*LN(LEVEL!I278)</f>
        <v/>
      </c>
      <c r="J278" s="5">
        <f>100*LN(LEVEL!J278)</f>
        <v/>
      </c>
      <c r="K278" s="5">
        <f>100*LN(LEVEL!K278)</f>
        <v/>
      </c>
      <c r="L278" s="5">
        <f>LEVEL!L278</f>
        <v/>
      </c>
      <c r="M278" s="5">
        <f>LEVEL!M278</f>
        <v/>
      </c>
      <c r="N278" s="5">
        <f>100*LN(LEVEL!N278)</f>
        <v/>
      </c>
      <c r="O278" s="5">
        <f>100*LN(LEVEL!O278)</f>
        <v/>
      </c>
      <c r="P278" s="6">
        <f>IF(AND(YEAR($A278)=2020,MONTH($A278)=3),1,0)</f>
        <v/>
      </c>
      <c r="Q278" s="6">
        <f>IF(AND(YEAR($A278)=2020,MONTH($A278)=4),1,0)</f>
        <v/>
      </c>
      <c r="R278" s="6">
        <f>IF(AND(YEAR($A278)=2020,MONTH($A278)=5),1,0)</f>
        <v/>
      </c>
      <c r="S278" s="6">
        <f>IF(AND(YEAR($A278)=2020,MONTH($A278)=6),1,0)</f>
        <v/>
      </c>
    </row>
    <row r="279">
      <c r="A279" s="3" t="n">
        <v>44958</v>
      </c>
      <c r="B279" s="4" t="inlineStr">
        <is>
          <t>2023m2</t>
        </is>
      </c>
      <c r="C279" s="5">
        <f>100*LN(LEVEL!C279)</f>
        <v/>
      </c>
      <c r="D279" s="5">
        <f>100*LN(LEVEL!D279)</f>
        <v/>
      </c>
      <c r="E279" s="5">
        <f>100*LN(LEVEL!E279)</f>
        <v/>
      </c>
      <c r="F279" s="5">
        <f>LEVEL!F279</f>
        <v/>
      </c>
      <c r="G279" s="5">
        <f>LEVEL!G279</f>
        <v/>
      </c>
      <c r="H279" s="5">
        <f>100*LN(LEVEL!H279)</f>
        <v/>
      </c>
      <c r="I279" s="5">
        <f>100*LN(LEVEL!I279)</f>
        <v/>
      </c>
      <c r="J279" s="5">
        <f>100*LN(LEVEL!J279)</f>
        <v/>
      </c>
      <c r="K279" s="5">
        <f>100*LN(LEVEL!K279)</f>
        <v/>
      </c>
      <c r="L279" s="5">
        <f>LEVEL!L279</f>
        <v/>
      </c>
      <c r="M279" s="5">
        <f>LEVEL!M279</f>
        <v/>
      </c>
      <c r="N279" s="5">
        <f>100*LN(LEVEL!N279)</f>
        <v/>
      </c>
      <c r="O279" s="5">
        <f>100*LN(LEVEL!O279)</f>
        <v/>
      </c>
      <c r="P279" s="6">
        <f>IF(AND(YEAR($A279)=2020,MONTH($A279)=3),1,0)</f>
        <v/>
      </c>
      <c r="Q279" s="6">
        <f>IF(AND(YEAR($A279)=2020,MONTH($A279)=4),1,0)</f>
        <v/>
      </c>
      <c r="R279" s="6">
        <f>IF(AND(YEAR($A279)=2020,MONTH($A279)=5),1,0)</f>
        <v/>
      </c>
      <c r="S279" s="6">
        <f>IF(AND(YEAR($A279)=2020,MONTH($A279)=6),1,0)</f>
        <v/>
      </c>
    </row>
    <row r="280">
      <c r="A280" s="3" t="n">
        <v>44986</v>
      </c>
      <c r="B280" s="4" t="inlineStr">
        <is>
          <t>2023m3</t>
        </is>
      </c>
      <c r="C280" s="5">
        <f>100*LN(LEVEL!C280)</f>
        <v/>
      </c>
      <c r="D280" s="5">
        <f>100*LN(LEVEL!D280)</f>
        <v/>
      </c>
      <c r="E280" s="5">
        <f>100*LN(LEVEL!E280)</f>
        <v/>
      </c>
      <c r="F280" s="5">
        <f>LEVEL!F280</f>
        <v/>
      </c>
      <c r="G280" s="5">
        <f>LEVEL!G280</f>
        <v/>
      </c>
      <c r="H280" s="5">
        <f>100*LN(LEVEL!H280)</f>
        <v/>
      </c>
      <c r="I280" s="5">
        <f>100*LN(LEVEL!I280)</f>
        <v/>
      </c>
      <c r="J280" s="5">
        <f>100*LN(LEVEL!J280)</f>
        <v/>
      </c>
      <c r="K280" s="5">
        <f>100*LN(LEVEL!K280)</f>
        <v/>
      </c>
      <c r="L280" s="5">
        <f>LEVEL!L280</f>
        <v/>
      </c>
      <c r="M280" s="5">
        <f>LEVEL!M280</f>
        <v/>
      </c>
      <c r="N280" s="5">
        <f>100*LN(LEVEL!N280)</f>
        <v/>
      </c>
      <c r="O280" s="5">
        <f>100*LN(LEVEL!O280)</f>
        <v/>
      </c>
      <c r="P280" s="6">
        <f>IF(AND(YEAR($A280)=2020,MONTH($A280)=3),1,0)</f>
        <v/>
      </c>
      <c r="Q280" s="6">
        <f>IF(AND(YEAR($A280)=2020,MONTH($A280)=4),1,0)</f>
        <v/>
      </c>
      <c r="R280" s="6">
        <f>IF(AND(YEAR($A280)=2020,MONTH($A280)=5),1,0)</f>
        <v/>
      </c>
      <c r="S280" s="6">
        <f>IF(AND(YEAR($A280)=2020,MONTH($A280)=6),1,0)</f>
        <v/>
      </c>
    </row>
    <row r="281">
      <c r="A281" s="3" t="n">
        <v>45017</v>
      </c>
      <c r="B281" s="4" t="inlineStr">
        <is>
          <t>2023m4</t>
        </is>
      </c>
      <c r="C281" s="5">
        <f>100*LN(LEVEL!C281)</f>
        <v/>
      </c>
      <c r="D281" s="5">
        <f>100*LN(LEVEL!D281)</f>
        <v/>
      </c>
      <c r="E281" s="5">
        <f>100*LN(LEVEL!E281)</f>
        <v/>
      </c>
      <c r="F281" s="5">
        <f>LEVEL!F281</f>
        <v/>
      </c>
      <c r="G281" s="5">
        <f>LEVEL!G281</f>
        <v/>
      </c>
      <c r="H281" s="5">
        <f>100*LN(LEVEL!H281)</f>
        <v/>
      </c>
      <c r="I281" s="5">
        <f>100*LN(LEVEL!I281)</f>
        <v/>
      </c>
      <c r="J281" s="5">
        <f>100*LN(LEVEL!J281)</f>
        <v/>
      </c>
      <c r="K281" s="5">
        <f>100*LN(LEVEL!K281)</f>
        <v/>
      </c>
      <c r="L281" s="5">
        <f>LEVEL!L281</f>
        <v/>
      </c>
      <c r="M281" s="5">
        <f>LEVEL!M281</f>
        <v/>
      </c>
      <c r="N281" s="5">
        <f>100*LN(LEVEL!N281)</f>
        <v/>
      </c>
      <c r="O281" s="5">
        <f>100*LN(LEVEL!O281)</f>
        <v/>
      </c>
      <c r="P281" s="6">
        <f>IF(AND(YEAR($A281)=2020,MONTH($A281)=3),1,0)</f>
        <v/>
      </c>
      <c r="Q281" s="6">
        <f>IF(AND(YEAR($A281)=2020,MONTH($A281)=4),1,0)</f>
        <v/>
      </c>
      <c r="R281" s="6">
        <f>IF(AND(YEAR($A281)=2020,MONTH($A281)=5),1,0)</f>
        <v/>
      </c>
      <c r="S281" s="6">
        <f>IF(AND(YEAR($A281)=2020,MONTH($A281)=6),1,0)</f>
        <v/>
      </c>
    </row>
    <row r="282">
      <c r="A282" s="3" t="n">
        <v>45047</v>
      </c>
      <c r="B282" s="4" t="inlineStr">
        <is>
          <t>2023m5</t>
        </is>
      </c>
      <c r="C282" s="5">
        <f>100*LN(LEVEL!C282)</f>
        <v/>
      </c>
      <c r="D282" s="5">
        <f>100*LN(LEVEL!D282)</f>
        <v/>
      </c>
      <c r="E282" s="5">
        <f>100*LN(LEVEL!E282)</f>
        <v/>
      </c>
      <c r="F282" s="5">
        <f>LEVEL!F282</f>
        <v/>
      </c>
      <c r="G282" s="5">
        <f>LEVEL!G282</f>
        <v/>
      </c>
      <c r="H282" s="5">
        <f>100*LN(LEVEL!H282)</f>
        <v/>
      </c>
      <c r="I282" s="5">
        <f>100*LN(LEVEL!I282)</f>
        <v/>
      </c>
      <c r="J282" s="5">
        <f>100*LN(LEVEL!J282)</f>
        <v/>
      </c>
      <c r="K282" s="5">
        <f>100*LN(LEVEL!K282)</f>
        <v/>
      </c>
      <c r="L282" s="5">
        <f>LEVEL!L282</f>
        <v/>
      </c>
      <c r="M282" s="5">
        <f>LEVEL!M282</f>
        <v/>
      </c>
      <c r="N282" s="5">
        <f>100*LN(LEVEL!N282)</f>
        <v/>
      </c>
      <c r="O282" s="5">
        <f>100*LN(LEVEL!O282)</f>
        <v/>
      </c>
      <c r="P282" s="6">
        <f>IF(AND(YEAR($A282)=2020,MONTH($A282)=3),1,0)</f>
        <v/>
      </c>
      <c r="Q282" s="6">
        <f>IF(AND(YEAR($A282)=2020,MONTH($A282)=4),1,0)</f>
        <v/>
      </c>
      <c r="R282" s="6">
        <f>IF(AND(YEAR($A282)=2020,MONTH($A282)=5),1,0)</f>
        <v/>
      </c>
      <c r="S282" s="6">
        <f>IF(AND(YEAR($A282)=2020,MONTH($A282)=6),1,0)</f>
        <v/>
      </c>
    </row>
    <row r="283">
      <c r="A283" s="3" t="n">
        <v>45078</v>
      </c>
      <c r="B283" s="4" t="inlineStr">
        <is>
          <t>2023m6</t>
        </is>
      </c>
      <c r="C283" s="5">
        <f>100*LN(LEVEL!C283)</f>
        <v/>
      </c>
      <c r="D283" s="5">
        <f>100*LN(LEVEL!D283)</f>
        <v/>
      </c>
      <c r="E283" s="5">
        <f>100*LN(LEVEL!E283)</f>
        <v/>
      </c>
      <c r="F283" s="5">
        <f>LEVEL!F283</f>
        <v/>
      </c>
      <c r="G283" s="5">
        <f>LEVEL!G283</f>
        <v/>
      </c>
      <c r="H283" s="5">
        <f>100*LN(LEVEL!H283)</f>
        <v/>
      </c>
      <c r="I283" s="5">
        <f>100*LN(LEVEL!I283)</f>
        <v/>
      </c>
      <c r="J283" s="5">
        <f>100*LN(LEVEL!J283)</f>
        <v/>
      </c>
      <c r="K283" s="5">
        <f>100*LN(LEVEL!K283)</f>
        <v/>
      </c>
      <c r="L283" s="5">
        <f>LEVEL!L283</f>
        <v/>
      </c>
      <c r="M283" s="5">
        <f>LEVEL!M283</f>
        <v/>
      </c>
      <c r="N283" s="5">
        <f>100*LN(LEVEL!N283)</f>
        <v/>
      </c>
      <c r="O283" s="5">
        <f>100*LN(LEVEL!O283)</f>
        <v/>
      </c>
      <c r="P283" s="6">
        <f>IF(AND(YEAR($A283)=2020,MONTH($A283)=3),1,0)</f>
        <v/>
      </c>
      <c r="Q283" s="6">
        <f>IF(AND(YEAR($A283)=2020,MONTH($A283)=4),1,0)</f>
        <v/>
      </c>
      <c r="R283" s="6">
        <f>IF(AND(YEAR($A283)=2020,MONTH($A283)=5),1,0)</f>
        <v/>
      </c>
      <c r="S283" s="6">
        <f>IF(AND(YEAR($A283)=2020,MONTH($A283)=6),1,0)</f>
        <v/>
      </c>
    </row>
    <row r="284">
      <c r="A284" s="3" t="n">
        <v>45108</v>
      </c>
      <c r="B284" s="4" t="inlineStr">
        <is>
          <t>2023m7</t>
        </is>
      </c>
      <c r="C284" s="5">
        <f>100*LN(LEVEL!C284)</f>
        <v/>
      </c>
      <c r="D284" s="5">
        <f>100*LN(LEVEL!D284)</f>
        <v/>
      </c>
      <c r="E284" s="5">
        <f>100*LN(LEVEL!E284)</f>
        <v/>
      </c>
      <c r="F284" s="5">
        <f>LEVEL!F284</f>
        <v/>
      </c>
      <c r="G284" s="5">
        <f>LEVEL!G284</f>
        <v/>
      </c>
      <c r="H284" s="5">
        <f>100*LN(LEVEL!H284)</f>
        <v/>
      </c>
      <c r="I284" s="5">
        <f>100*LN(LEVEL!I284)</f>
        <v/>
      </c>
      <c r="J284" s="5">
        <f>100*LN(LEVEL!J284)</f>
        <v/>
      </c>
      <c r="K284" s="5">
        <f>100*LN(LEVEL!K284)</f>
        <v/>
      </c>
      <c r="L284" s="5">
        <f>LEVEL!L284</f>
        <v/>
      </c>
      <c r="M284" s="5">
        <f>LEVEL!M284</f>
        <v/>
      </c>
      <c r="N284" s="5">
        <f>100*LN(LEVEL!N284)</f>
        <v/>
      </c>
      <c r="O284" s="5">
        <f>100*LN(LEVEL!O284)</f>
        <v/>
      </c>
      <c r="P284" s="6">
        <f>IF(AND(YEAR($A284)=2020,MONTH($A284)=3),1,0)</f>
        <v/>
      </c>
      <c r="Q284" s="6">
        <f>IF(AND(YEAR($A284)=2020,MONTH($A284)=4),1,0)</f>
        <v/>
      </c>
      <c r="R284" s="6">
        <f>IF(AND(YEAR($A284)=2020,MONTH($A284)=5),1,0)</f>
        <v/>
      </c>
      <c r="S284" s="6">
        <f>IF(AND(YEAR($A284)=2020,MONTH($A284)=6),1,0)</f>
        <v/>
      </c>
    </row>
    <row r="285">
      <c r="A285" s="3" t="n">
        <v>45139</v>
      </c>
      <c r="B285" s="4" t="inlineStr">
        <is>
          <t>2023m8</t>
        </is>
      </c>
      <c r="C285" s="5">
        <f>100*LN(LEVEL!C285)</f>
        <v/>
      </c>
      <c r="D285" s="5">
        <f>100*LN(LEVEL!D285)</f>
        <v/>
      </c>
      <c r="E285" s="5">
        <f>100*LN(LEVEL!E285)</f>
        <v/>
      </c>
      <c r="F285" s="5">
        <f>LEVEL!F285</f>
        <v/>
      </c>
      <c r="G285" s="5">
        <f>LEVEL!G285</f>
        <v/>
      </c>
      <c r="H285" s="5">
        <f>100*LN(LEVEL!H285)</f>
        <v/>
      </c>
      <c r="I285" s="5">
        <f>100*LN(LEVEL!I285)</f>
        <v/>
      </c>
      <c r="J285" s="5">
        <f>100*LN(LEVEL!J285)</f>
        <v/>
      </c>
      <c r="K285" s="5">
        <f>100*LN(LEVEL!K285)</f>
        <v/>
      </c>
      <c r="L285" s="5">
        <f>LEVEL!L285</f>
        <v/>
      </c>
      <c r="M285" s="5">
        <f>LEVEL!M285</f>
        <v/>
      </c>
      <c r="N285" s="5">
        <f>100*LN(LEVEL!N285)</f>
        <v/>
      </c>
      <c r="O285" s="5">
        <f>100*LN(LEVEL!O285)</f>
        <v/>
      </c>
      <c r="P285" s="6">
        <f>IF(AND(YEAR($A285)=2020,MONTH($A285)=3),1,0)</f>
        <v/>
      </c>
      <c r="Q285" s="6">
        <f>IF(AND(YEAR($A285)=2020,MONTH($A285)=4),1,0)</f>
        <v/>
      </c>
      <c r="R285" s="6">
        <f>IF(AND(YEAR($A285)=2020,MONTH($A285)=5),1,0)</f>
        <v/>
      </c>
      <c r="S285" s="6">
        <f>IF(AND(YEAR($A285)=2020,MONTH($A285)=6),1,0)</f>
        <v/>
      </c>
    </row>
    <row r="286">
      <c r="A286" s="3" t="n">
        <v>45170</v>
      </c>
      <c r="B286" s="4" t="inlineStr">
        <is>
          <t>2023m9</t>
        </is>
      </c>
      <c r="C286" s="5">
        <f>100*LN(LEVEL!C286)</f>
        <v/>
      </c>
      <c r="D286" s="5">
        <f>100*LN(LEVEL!D286)</f>
        <v/>
      </c>
      <c r="E286" s="5">
        <f>100*LN(LEVEL!E286)</f>
        <v/>
      </c>
      <c r="F286" s="5">
        <f>LEVEL!F286</f>
        <v/>
      </c>
      <c r="G286" s="5">
        <f>LEVEL!G286</f>
        <v/>
      </c>
      <c r="H286" s="5">
        <f>100*LN(LEVEL!H286)</f>
        <v/>
      </c>
      <c r="I286" s="5">
        <f>100*LN(LEVEL!I286)</f>
        <v/>
      </c>
      <c r="J286" s="5">
        <f>100*LN(LEVEL!J286)</f>
        <v/>
      </c>
      <c r="K286" s="5">
        <f>100*LN(LEVEL!K286)</f>
        <v/>
      </c>
      <c r="L286" s="5">
        <f>LEVEL!L286</f>
        <v/>
      </c>
      <c r="M286" s="5">
        <f>LEVEL!M286</f>
        <v/>
      </c>
      <c r="N286" s="5">
        <f>100*LN(LEVEL!N286)</f>
        <v/>
      </c>
      <c r="O286" s="5">
        <f>100*LN(LEVEL!O286)</f>
        <v/>
      </c>
      <c r="P286" s="6">
        <f>IF(AND(YEAR($A286)=2020,MONTH($A286)=3),1,0)</f>
        <v/>
      </c>
      <c r="Q286" s="6">
        <f>IF(AND(YEAR($A286)=2020,MONTH($A286)=4),1,0)</f>
        <v/>
      </c>
      <c r="R286" s="6">
        <f>IF(AND(YEAR($A286)=2020,MONTH($A286)=5),1,0)</f>
        <v/>
      </c>
      <c r="S286" s="6">
        <f>IF(AND(YEAR($A286)=2020,MONTH($A286)=6),1,0)</f>
        <v/>
      </c>
    </row>
    <row r="287">
      <c r="A287" s="3" t="n">
        <v>45200</v>
      </c>
      <c r="B287" s="4" t="inlineStr">
        <is>
          <t>2023m10</t>
        </is>
      </c>
      <c r="C287" s="5">
        <f>100*LN(LEVEL!C287)</f>
        <v/>
      </c>
      <c r="D287" s="5">
        <f>100*LN(LEVEL!D287)</f>
        <v/>
      </c>
      <c r="E287" s="5">
        <f>100*LN(LEVEL!E287)</f>
        <v/>
      </c>
      <c r="F287" s="5">
        <f>LEVEL!F287</f>
        <v/>
      </c>
      <c r="G287" s="5">
        <f>LEVEL!G287</f>
        <v/>
      </c>
      <c r="H287" s="5">
        <f>100*LN(LEVEL!H287)</f>
        <v/>
      </c>
      <c r="I287" s="5">
        <f>100*LN(LEVEL!I287)</f>
        <v/>
      </c>
      <c r="J287" s="5">
        <f>100*LN(LEVEL!J287)</f>
        <v/>
      </c>
      <c r="K287" s="5">
        <f>100*LN(LEVEL!K287)</f>
        <v/>
      </c>
      <c r="L287" s="5">
        <f>LEVEL!L287</f>
        <v/>
      </c>
      <c r="M287" s="5">
        <f>LEVEL!M287</f>
        <v/>
      </c>
      <c r="N287" s="5">
        <f>100*LN(LEVEL!N287)</f>
        <v/>
      </c>
      <c r="O287" s="5">
        <f>100*LN(LEVEL!O287)</f>
        <v/>
      </c>
      <c r="P287" s="6">
        <f>IF(AND(YEAR($A287)=2020,MONTH($A287)=3),1,0)</f>
        <v/>
      </c>
      <c r="Q287" s="6">
        <f>IF(AND(YEAR($A287)=2020,MONTH($A287)=4),1,0)</f>
        <v/>
      </c>
      <c r="R287" s="6">
        <f>IF(AND(YEAR($A287)=2020,MONTH($A287)=5),1,0)</f>
        <v/>
      </c>
      <c r="S287" s="6">
        <f>IF(AND(YEAR($A287)=2020,MONTH($A287)=6),1,0)</f>
        <v/>
      </c>
    </row>
    <row r="288">
      <c r="A288" s="3" t="n">
        <v>45231</v>
      </c>
      <c r="B288" s="4" t="inlineStr">
        <is>
          <t>2023m11</t>
        </is>
      </c>
      <c r="C288" s="5">
        <f>100*LN(LEVEL!C288)</f>
        <v/>
      </c>
      <c r="D288" s="5">
        <f>100*LN(LEVEL!D288)</f>
        <v/>
      </c>
      <c r="E288" s="5">
        <f>100*LN(LEVEL!E288)</f>
        <v/>
      </c>
      <c r="F288" s="5">
        <f>LEVEL!F288</f>
        <v/>
      </c>
      <c r="G288" s="5">
        <f>LEVEL!G288</f>
        <v/>
      </c>
      <c r="H288" s="5">
        <f>100*LN(LEVEL!H288)</f>
        <v/>
      </c>
      <c r="I288" s="5">
        <f>100*LN(LEVEL!I288)</f>
        <v/>
      </c>
      <c r="J288" s="5">
        <f>100*LN(LEVEL!J288)</f>
        <v/>
      </c>
      <c r="K288" s="5">
        <f>100*LN(LEVEL!K288)</f>
        <v/>
      </c>
      <c r="L288" s="5">
        <f>LEVEL!L288</f>
        <v/>
      </c>
      <c r="M288" s="5">
        <f>LEVEL!M288</f>
        <v/>
      </c>
      <c r="N288" s="5">
        <f>100*LN(LEVEL!N288)</f>
        <v/>
      </c>
      <c r="O288" s="5">
        <f>100*LN(LEVEL!O288)</f>
        <v/>
      </c>
      <c r="P288" s="6">
        <f>IF(AND(YEAR($A288)=2020,MONTH($A288)=3),1,0)</f>
        <v/>
      </c>
      <c r="Q288" s="6">
        <f>IF(AND(YEAR($A288)=2020,MONTH($A288)=4),1,0)</f>
        <v/>
      </c>
      <c r="R288" s="6">
        <f>IF(AND(YEAR($A288)=2020,MONTH($A288)=5),1,0)</f>
        <v/>
      </c>
      <c r="S288" s="6">
        <f>IF(AND(YEAR($A288)=2020,MONTH($A288)=6),1,0)</f>
        <v/>
      </c>
    </row>
    <row r="289">
      <c r="A289" s="3" t="n">
        <v>45261</v>
      </c>
      <c r="B289" s="4" t="inlineStr">
        <is>
          <t>2023m12</t>
        </is>
      </c>
      <c r="C289" s="5">
        <f>100*LN(LEVEL!C289)</f>
        <v/>
      </c>
      <c r="D289" s="5">
        <f>100*LN(LEVEL!D289)</f>
        <v/>
      </c>
      <c r="E289" s="5">
        <f>100*LN(LEVEL!E289)</f>
        <v/>
      </c>
      <c r="F289" s="5">
        <f>LEVEL!F289</f>
        <v/>
      </c>
      <c r="G289" s="5">
        <f>LEVEL!G289</f>
        <v/>
      </c>
      <c r="H289" s="5">
        <f>100*LN(LEVEL!H289)</f>
        <v/>
      </c>
      <c r="I289" s="5">
        <f>100*LN(LEVEL!I289)</f>
        <v/>
      </c>
      <c r="J289" s="5">
        <f>100*LN(LEVEL!J289)</f>
        <v/>
      </c>
      <c r="K289" s="5">
        <f>100*LN(LEVEL!K289)</f>
        <v/>
      </c>
      <c r="L289" s="5">
        <f>LEVEL!L289</f>
        <v/>
      </c>
      <c r="M289" s="5">
        <f>LEVEL!M289</f>
        <v/>
      </c>
      <c r="N289" s="5">
        <f>100*LN(LEVEL!N289)</f>
        <v/>
      </c>
      <c r="O289" s="5">
        <f>100*LN(LEVEL!O289)</f>
        <v/>
      </c>
      <c r="P289" s="6">
        <f>IF(AND(YEAR($A289)=2020,MONTH($A289)=3),1,0)</f>
        <v/>
      </c>
      <c r="Q289" s="6">
        <f>IF(AND(YEAR($A289)=2020,MONTH($A289)=4),1,0)</f>
        <v/>
      </c>
      <c r="R289" s="6">
        <f>IF(AND(YEAR($A289)=2020,MONTH($A289)=5),1,0)</f>
        <v/>
      </c>
      <c r="S289" s="6">
        <f>IF(AND(YEAR($A289)=2020,MONTH($A289)=6),1,0)</f>
        <v/>
      </c>
    </row>
    <row r="290">
      <c r="A290" s="3" t="n">
        <v>45292</v>
      </c>
      <c r="B290" s="4" t="inlineStr">
        <is>
          <t>2024m1</t>
        </is>
      </c>
      <c r="C290" s="5">
        <f>100*LN(LEVEL!C290)</f>
        <v/>
      </c>
      <c r="D290" s="5">
        <f>100*LN(LEVEL!D290)</f>
        <v/>
      </c>
      <c r="E290" s="5">
        <f>100*LN(LEVEL!E290)</f>
        <v/>
      </c>
      <c r="F290" s="5">
        <f>LEVEL!F290</f>
        <v/>
      </c>
      <c r="G290" s="5">
        <f>LEVEL!G290</f>
        <v/>
      </c>
      <c r="H290" s="5">
        <f>100*LN(LEVEL!H290)</f>
        <v/>
      </c>
      <c r="I290" s="5">
        <f>100*LN(LEVEL!I290)</f>
        <v/>
      </c>
      <c r="J290" s="5">
        <f>100*LN(LEVEL!J290)</f>
        <v/>
      </c>
      <c r="K290" s="5">
        <f>100*LN(LEVEL!K290)</f>
        <v/>
      </c>
      <c r="L290" s="5">
        <f>LEVEL!L290</f>
        <v/>
      </c>
      <c r="M290" s="5">
        <f>LEVEL!M290</f>
        <v/>
      </c>
      <c r="N290" s="5">
        <f>100*LN(LEVEL!N290)</f>
        <v/>
      </c>
      <c r="O290" s="5">
        <f>100*LN(LEVEL!O290)</f>
        <v/>
      </c>
      <c r="P290" s="6">
        <f>IF(AND(YEAR($A290)=2020,MONTH($A290)=3),1,0)</f>
        <v/>
      </c>
      <c r="Q290" s="6">
        <f>IF(AND(YEAR($A290)=2020,MONTH($A290)=4),1,0)</f>
        <v/>
      </c>
      <c r="R290" s="6">
        <f>IF(AND(YEAR($A290)=2020,MONTH($A290)=5),1,0)</f>
        <v/>
      </c>
      <c r="S290" s="6">
        <f>IF(AND(YEAR($A290)=2020,MONTH($A290)=6),1,0)</f>
        <v/>
      </c>
    </row>
    <row r="291">
      <c r="A291" s="3" t="n">
        <v>45323</v>
      </c>
      <c r="B291" s="4" t="inlineStr">
        <is>
          <t>2024m2</t>
        </is>
      </c>
      <c r="C291" s="5">
        <f>100*LN(LEVEL!C291)</f>
        <v/>
      </c>
      <c r="D291" s="5">
        <f>100*LN(LEVEL!D291)</f>
        <v/>
      </c>
      <c r="E291" s="5">
        <f>100*LN(LEVEL!E291)</f>
        <v/>
      </c>
      <c r="F291" s="5">
        <f>LEVEL!F291</f>
        <v/>
      </c>
      <c r="G291" s="5">
        <f>LEVEL!G291</f>
        <v/>
      </c>
      <c r="H291" s="5">
        <f>100*LN(LEVEL!H291)</f>
        <v/>
      </c>
      <c r="I291" s="5">
        <f>100*LN(LEVEL!I291)</f>
        <v/>
      </c>
      <c r="J291" s="5">
        <f>100*LN(LEVEL!J291)</f>
        <v/>
      </c>
      <c r="K291" s="5">
        <f>100*LN(LEVEL!K291)</f>
        <v/>
      </c>
      <c r="L291" s="5">
        <f>LEVEL!L291</f>
        <v/>
      </c>
      <c r="M291" s="5">
        <f>LEVEL!M291</f>
        <v/>
      </c>
      <c r="N291" s="5">
        <f>100*LN(LEVEL!N291)</f>
        <v/>
      </c>
      <c r="O291" s="5">
        <f>100*LN(LEVEL!O291)</f>
        <v/>
      </c>
      <c r="P291" s="6">
        <f>IF(AND(YEAR($A291)=2020,MONTH($A291)=3),1,0)</f>
        <v/>
      </c>
      <c r="Q291" s="6">
        <f>IF(AND(YEAR($A291)=2020,MONTH($A291)=4),1,0)</f>
        <v/>
      </c>
      <c r="R291" s="6">
        <f>IF(AND(YEAR($A291)=2020,MONTH($A291)=5),1,0)</f>
        <v/>
      </c>
      <c r="S291" s="6">
        <f>IF(AND(YEAR($A291)=2020,MONTH($A291)=6),1,0)</f>
        <v/>
      </c>
    </row>
    <row r="292">
      <c r="A292" s="3" t="n">
        <v>45352</v>
      </c>
      <c r="B292" s="4" t="inlineStr">
        <is>
          <t>2024m3</t>
        </is>
      </c>
      <c r="C292" s="5">
        <f>100*LN(LEVEL!C292)</f>
        <v/>
      </c>
      <c r="D292" s="5">
        <f>100*LN(LEVEL!D292)</f>
        <v/>
      </c>
      <c r="E292" s="5">
        <f>100*LN(LEVEL!E292)</f>
        <v/>
      </c>
      <c r="F292" s="5">
        <f>LEVEL!F292</f>
        <v/>
      </c>
      <c r="G292" s="5">
        <f>LEVEL!G292</f>
        <v/>
      </c>
      <c r="H292" s="5">
        <f>100*LN(LEVEL!H292)</f>
        <v/>
      </c>
      <c r="I292" s="5">
        <f>100*LN(LEVEL!I292)</f>
        <v/>
      </c>
      <c r="J292" s="5">
        <f>100*LN(LEVEL!J292)</f>
        <v/>
      </c>
      <c r="K292" s="5">
        <f>100*LN(LEVEL!K292)</f>
        <v/>
      </c>
      <c r="L292" s="5">
        <f>LEVEL!L292</f>
        <v/>
      </c>
      <c r="M292" s="5">
        <f>LEVEL!M292</f>
        <v/>
      </c>
      <c r="N292" s="5">
        <f>100*LN(LEVEL!N292)</f>
        <v/>
      </c>
      <c r="O292" s="5">
        <f>100*LN(LEVEL!O292)</f>
        <v/>
      </c>
      <c r="P292" s="6">
        <f>IF(AND(YEAR($A292)=2020,MONTH($A292)=3),1,0)</f>
        <v/>
      </c>
      <c r="Q292" s="6">
        <f>IF(AND(YEAR($A292)=2020,MONTH($A292)=4),1,0)</f>
        <v/>
      </c>
      <c r="R292" s="6">
        <f>IF(AND(YEAR($A292)=2020,MONTH($A292)=5),1,0)</f>
        <v/>
      </c>
      <c r="S292" s="6">
        <f>IF(AND(YEAR($A292)=2020,MONTH($A292)=6),1,0)</f>
        <v/>
      </c>
    </row>
    <row r="293">
      <c r="A293" s="3" t="n">
        <v>45383</v>
      </c>
      <c r="B293" s="4" t="inlineStr">
        <is>
          <t>2024m4</t>
        </is>
      </c>
      <c r="C293" s="5">
        <f>100*LN(LEVEL!C293)</f>
        <v/>
      </c>
      <c r="D293" s="5">
        <f>100*LN(LEVEL!D293)</f>
        <v/>
      </c>
      <c r="E293" s="5">
        <f>100*LN(LEVEL!E293)</f>
        <v/>
      </c>
      <c r="F293" s="5">
        <f>LEVEL!F293</f>
        <v/>
      </c>
      <c r="G293" s="5">
        <f>LEVEL!G293</f>
        <v/>
      </c>
      <c r="H293" s="5">
        <f>100*LN(LEVEL!H293)</f>
        <v/>
      </c>
      <c r="I293" s="5">
        <f>100*LN(LEVEL!I293)</f>
        <v/>
      </c>
      <c r="J293" s="5">
        <f>100*LN(LEVEL!J293)</f>
        <v/>
      </c>
      <c r="K293" s="5">
        <f>100*LN(LEVEL!K293)</f>
        <v/>
      </c>
      <c r="L293" s="5">
        <f>LEVEL!L293</f>
        <v/>
      </c>
      <c r="M293" s="5">
        <f>LEVEL!M293</f>
        <v/>
      </c>
      <c r="N293" s="5">
        <f>100*LN(LEVEL!N293)</f>
        <v/>
      </c>
      <c r="O293" s="5">
        <f>100*LN(LEVEL!O293)</f>
        <v/>
      </c>
      <c r="P293" s="6">
        <f>IF(AND(YEAR($A293)=2020,MONTH($A293)=3),1,0)</f>
        <v/>
      </c>
      <c r="Q293" s="6">
        <f>IF(AND(YEAR($A293)=2020,MONTH($A293)=4),1,0)</f>
        <v/>
      </c>
      <c r="R293" s="6">
        <f>IF(AND(YEAR($A293)=2020,MONTH($A293)=5),1,0)</f>
        <v/>
      </c>
      <c r="S293" s="6">
        <f>IF(AND(YEAR($A293)=2020,MONTH($A293)=6),1,0)</f>
        <v/>
      </c>
    </row>
    <row r="294">
      <c r="A294" s="3" t="n">
        <v>45413</v>
      </c>
      <c r="B294" s="4" t="inlineStr">
        <is>
          <t>2024m5</t>
        </is>
      </c>
      <c r="C294" s="5">
        <f>100*LN(LEVEL!C294)</f>
        <v/>
      </c>
      <c r="D294" s="5">
        <f>100*LN(LEVEL!D294)</f>
        <v/>
      </c>
      <c r="E294" s="5">
        <f>100*LN(LEVEL!E294)</f>
        <v/>
      </c>
      <c r="F294" s="5">
        <f>LEVEL!F294</f>
        <v/>
      </c>
      <c r="G294" s="5">
        <f>LEVEL!G294</f>
        <v/>
      </c>
      <c r="H294" s="5">
        <f>100*LN(LEVEL!H294)</f>
        <v/>
      </c>
      <c r="I294" s="5">
        <f>100*LN(LEVEL!I294)</f>
        <v/>
      </c>
      <c r="J294" s="5">
        <f>100*LN(LEVEL!J294)</f>
        <v/>
      </c>
      <c r="K294" s="5">
        <f>100*LN(LEVEL!K294)</f>
        <v/>
      </c>
      <c r="L294" s="5">
        <f>LEVEL!L294</f>
        <v/>
      </c>
      <c r="M294" s="5">
        <f>LEVEL!M294</f>
        <v/>
      </c>
      <c r="N294" s="5">
        <f>100*LN(LEVEL!N294)</f>
        <v/>
      </c>
      <c r="O294" s="5">
        <f>100*LN(LEVEL!O294)</f>
        <v/>
      </c>
      <c r="P294" s="6">
        <f>IF(AND(YEAR($A294)=2020,MONTH($A294)=3),1,0)</f>
        <v/>
      </c>
      <c r="Q294" s="6">
        <f>IF(AND(YEAR($A294)=2020,MONTH($A294)=4),1,0)</f>
        <v/>
      </c>
      <c r="R294" s="6">
        <f>IF(AND(YEAR($A294)=2020,MONTH($A294)=5),1,0)</f>
        <v/>
      </c>
      <c r="S294" s="6">
        <f>IF(AND(YEAR($A294)=2020,MONTH($A294)=6),1,0)</f>
        <v/>
      </c>
    </row>
    <row r="295">
      <c r="A295" s="3" t="n">
        <v>45444</v>
      </c>
      <c r="B295" s="4" t="inlineStr">
        <is>
          <t>2024m6</t>
        </is>
      </c>
      <c r="C295" s="5">
        <f>100*LN(LEVEL!C295)</f>
        <v/>
      </c>
      <c r="D295" s="5">
        <f>100*LN(LEVEL!D295)</f>
        <v/>
      </c>
      <c r="E295" s="5">
        <f>100*LN(LEVEL!E295)</f>
        <v/>
      </c>
      <c r="F295" s="5">
        <f>LEVEL!F295</f>
        <v/>
      </c>
      <c r="G295" s="5">
        <f>LEVEL!G295</f>
        <v/>
      </c>
      <c r="H295" s="5">
        <f>100*LN(LEVEL!H295)</f>
        <v/>
      </c>
      <c r="I295" s="5">
        <f>100*LN(LEVEL!I295)</f>
        <v/>
      </c>
      <c r="J295" s="5">
        <f>100*LN(LEVEL!J295)</f>
        <v/>
      </c>
      <c r="K295" s="5">
        <f>100*LN(LEVEL!K295)</f>
        <v/>
      </c>
      <c r="L295" s="5">
        <f>LEVEL!L295</f>
        <v/>
      </c>
      <c r="M295" s="5">
        <f>LEVEL!M295</f>
        <v/>
      </c>
      <c r="N295" s="5">
        <f>100*LN(LEVEL!N295)</f>
        <v/>
      </c>
      <c r="O295" s="5">
        <f>100*LN(LEVEL!O295)</f>
        <v/>
      </c>
      <c r="P295" s="6">
        <f>IF(AND(YEAR($A295)=2020,MONTH($A295)=3),1,0)</f>
        <v/>
      </c>
      <c r="Q295" s="6">
        <f>IF(AND(YEAR($A295)=2020,MONTH($A295)=4),1,0)</f>
        <v/>
      </c>
      <c r="R295" s="6">
        <f>IF(AND(YEAR($A295)=2020,MONTH($A295)=5),1,0)</f>
        <v/>
      </c>
      <c r="S295" s="6">
        <f>IF(AND(YEAR($A295)=2020,MONTH($A295)=6),1,0)</f>
        <v/>
      </c>
    </row>
    <row r="296">
      <c r="A296" s="3" t="n">
        <v>45474</v>
      </c>
      <c r="B296" s="4" t="inlineStr">
        <is>
          <t>2024m7</t>
        </is>
      </c>
      <c r="C296" s="5">
        <f>100*LN(LEVEL!C296)</f>
        <v/>
      </c>
      <c r="D296" s="5">
        <f>100*LN(LEVEL!D296)</f>
        <v/>
      </c>
      <c r="E296" s="5">
        <f>100*LN(LEVEL!E296)</f>
        <v/>
      </c>
      <c r="F296" s="5">
        <f>LEVEL!F296</f>
        <v/>
      </c>
      <c r="G296" s="5">
        <f>LEVEL!G296</f>
        <v/>
      </c>
      <c r="H296" s="5">
        <f>100*LN(LEVEL!H296)</f>
        <v/>
      </c>
      <c r="I296" s="5">
        <f>100*LN(LEVEL!I296)</f>
        <v/>
      </c>
      <c r="J296" s="5">
        <f>100*LN(LEVEL!J296)</f>
        <v/>
      </c>
      <c r="K296" s="5">
        <f>100*LN(LEVEL!K296)</f>
        <v/>
      </c>
      <c r="L296" s="5">
        <f>LEVEL!L296</f>
        <v/>
      </c>
      <c r="M296" s="5">
        <f>LEVEL!M296</f>
        <v/>
      </c>
      <c r="N296" s="5">
        <f>100*LN(LEVEL!N296)</f>
        <v/>
      </c>
      <c r="O296" s="5">
        <f>100*LN(LEVEL!O296)</f>
        <v/>
      </c>
      <c r="P296" s="6">
        <f>IF(AND(YEAR($A296)=2020,MONTH($A296)=3),1,0)</f>
        <v/>
      </c>
      <c r="Q296" s="6">
        <f>IF(AND(YEAR($A296)=2020,MONTH($A296)=4),1,0)</f>
        <v/>
      </c>
      <c r="R296" s="6">
        <f>IF(AND(YEAR($A296)=2020,MONTH($A296)=5),1,0)</f>
        <v/>
      </c>
      <c r="S296" s="6">
        <f>IF(AND(YEAR($A296)=2020,MONTH($A296)=6),1,0)</f>
        <v/>
      </c>
    </row>
    <row r="297">
      <c r="A297" s="3" t="n">
        <v>45505</v>
      </c>
      <c r="B297" s="4" t="inlineStr">
        <is>
          <t>2024m8</t>
        </is>
      </c>
      <c r="C297" s="5">
        <f>100*LN(LEVEL!C297)</f>
        <v/>
      </c>
      <c r="D297" s="5">
        <f>100*LN(LEVEL!D297)</f>
        <v/>
      </c>
      <c r="E297" s="5">
        <f>100*LN(LEVEL!E297)</f>
        <v/>
      </c>
      <c r="F297" s="5">
        <f>LEVEL!F297</f>
        <v/>
      </c>
      <c r="G297" s="5">
        <f>LEVEL!G297</f>
        <v/>
      </c>
      <c r="H297" s="5">
        <f>100*LN(LEVEL!H297)</f>
        <v/>
      </c>
      <c r="I297" s="5">
        <f>100*LN(LEVEL!I297)</f>
        <v/>
      </c>
      <c r="J297" s="5">
        <f>100*LN(LEVEL!J297)</f>
        <v/>
      </c>
      <c r="K297" s="5">
        <f>100*LN(LEVEL!K297)</f>
        <v/>
      </c>
      <c r="L297" s="5">
        <f>LEVEL!L297</f>
        <v/>
      </c>
      <c r="M297" s="5">
        <f>LEVEL!M297</f>
        <v/>
      </c>
      <c r="N297" s="5">
        <f>100*LN(LEVEL!N297)</f>
        <v/>
      </c>
      <c r="O297" s="5">
        <f>100*LN(LEVEL!O297)</f>
        <v/>
      </c>
      <c r="P297" s="6">
        <f>IF(AND(YEAR($A297)=2020,MONTH($A297)=3),1,0)</f>
        <v/>
      </c>
      <c r="Q297" s="6">
        <f>IF(AND(YEAR($A297)=2020,MONTH($A297)=4),1,0)</f>
        <v/>
      </c>
      <c r="R297" s="6">
        <f>IF(AND(YEAR($A297)=2020,MONTH($A297)=5),1,0)</f>
        <v/>
      </c>
      <c r="S297" s="6">
        <f>IF(AND(YEAR($A297)=2020,MONTH($A297)=6),1,0)</f>
        <v/>
      </c>
    </row>
    <row r="298">
      <c r="A298" s="3" t="n">
        <v>45536</v>
      </c>
      <c r="B298" s="4" t="inlineStr">
        <is>
          <t>2024m9</t>
        </is>
      </c>
      <c r="C298" s="5">
        <f>100*LN(LEVEL!C298)</f>
        <v/>
      </c>
      <c r="D298" s="5">
        <f>100*LN(LEVEL!D298)</f>
        <v/>
      </c>
      <c r="E298" s="5">
        <f>100*LN(LEVEL!E298)</f>
        <v/>
      </c>
      <c r="F298" s="5">
        <f>LEVEL!F298</f>
        <v/>
      </c>
      <c r="G298" s="5">
        <f>LEVEL!G298</f>
        <v/>
      </c>
      <c r="H298" s="5">
        <f>100*LN(LEVEL!H298)</f>
        <v/>
      </c>
      <c r="I298" s="5">
        <f>100*LN(LEVEL!I298)</f>
        <v/>
      </c>
      <c r="J298" s="5">
        <f>100*LN(LEVEL!J298)</f>
        <v/>
      </c>
      <c r="K298" s="5">
        <f>100*LN(LEVEL!K298)</f>
        <v/>
      </c>
      <c r="L298" s="5">
        <f>LEVEL!L298</f>
        <v/>
      </c>
      <c r="M298" s="5">
        <f>LEVEL!M298</f>
        <v/>
      </c>
      <c r="N298" s="5">
        <f>100*LN(LEVEL!N298)</f>
        <v/>
      </c>
      <c r="O298" s="5">
        <f>100*LN(LEVEL!O298)</f>
        <v/>
      </c>
      <c r="P298" s="6">
        <f>IF(AND(YEAR($A298)=2020,MONTH($A298)=3),1,0)</f>
        <v/>
      </c>
      <c r="Q298" s="6">
        <f>IF(AND(YEAR($A298)=2020,MONTH($A298)=4),1,0)</f>
        <v/>
      </c>
      <c r="R298" s="6">
        <f>IF(AND(YEAR($A298)=2020,MONTH($A298)=5),1,0)</f>
        <v/>
      </c>
      <c r="S298" s="6">
        <f>IF(AND(YEAR($A298)=2020,MONTH($A298)=6),1,0)</f>
        <v/>
      </c>
    </row>
    <row r="299">
      <c r="A299" s="3" t="n">
        <v>45566</v>
      </c>
      <c r="B299" s="4" t="inlineStr">
        <is>
          <t>2024m10</t>
        </is>
      </c>
      <c r="C299" s="5">
        <f>100*LN(LEVEL!C299)</f>
        <v/>
      </c>
      <c r="D299" s="5">
        <f>100*LN(LEVEL!D299)</f>
        <v/>
      </c>
      <c r="E299" s="5">
        <f>100*LN(LEVEL!E299)</f>
        <v/>
      </c>
      <c r="F299" s="5">
        <f>LEVEL!F299</f>
        <v/>
      </c>
      <c r="G299" s="5">
        <f>LEVEL!G299</f>
        <v/>
      </c>
      <c r="H299" s="5">
        <f>100*LN(LEVEL!H299)</f>
        <v/>
      </c>
      <c r="I299" s="5">
        <f>100*LN(LEVEL!I299)</f>
        <v/>
      </c>
      <c r="J299" s="5">
        <f>100*LN(LEVEL!J299)</f>
        <v/>
      </c>
      <c r="K299" s="5">
        <f>100*LN(LEVEL!K299)</f>
        <v/>
      </c>
      <c r="L299" s="5">
        <f>LEVEL!L299</f>
        <v/>
      </c>
      <c r="M299" s="5">
        <f>LEVEL!M299</f>
        <v/>
      </c>
      <c r="N299" s="5">
        <f>100*LN(LEVEL!N299)</f>
        <v/>
      </c>
      <c r="O299" s="5">
        <f>100*LN(LEVEL!O299)</f>
        <v/>
      </c>
      <c r="P299" s="6">
        <f>IF(AND(YEAR($A299)=2020,MONTH($A299)=3),1,0)</f>
        <v/>
      </c>
      <c r="Q299" s="6">
        <f>IF(AND(YEAR($A299)=2020,MONTH($A299)=4),1,0)</f>
        <v/>
      </c>
      <c r="R299" s="6">
        <f>IF(AND(YEAR($A299)=2020,MONTH($A299)=5),1,0)</f>
        <v/>
      </c>
      <c r="S299" s="6">
        <f>IF(AND(YEAR($A299)=2020,MONTH($A299)=6),1,0)</f>
        <v/>
      </c>
    </row>
    <row r="300">
      <c r="A300" s="3" t="n">
        <v>45597</v>
      </c>
      <c r="B300" s="4" t="inlineStr">
        <is>
          <t>2024m11</t>
        </is>
      </c>
      <c r="C300" s="5">
        <f>100*LN(LEVEL!C300)</f>
        <v/>
      </c>
      <c r="D300" s="5">
        <f>100*LN(LEVEL!D300)</f>
        <v/>
      </c>
      <c r="E300" s="5">
        <f>100*LN(LEVEL!E300)</f>
        <v/>
      </c>
      <c r="F300" s="5">
        <f>LEVEL!F300</f>
        <v/>
      </c>
      <c r="G300" s="5">
        <f>LEVEL!G300</f>
        <v/>
      </c>
      <c r="H300" s="5">
        <f>100*LN(LEVEL!H300)</f>
        <v/>
      </c>
      <c r="I300" s="5">
        <f>100*LN(LEVEL!I300)</f>
        <v/>
      </c>
      <c r="J300" s="5">
        <f>100*LN(LEVEL!J300)</f>
        <v/>
      </c>
      <c r="K300" s="5">
        <f>100*LN(LEVEL!K300)</f>
        <v/>
      </c>
      <c r="L300" s="5">
        <f>LEVEL!L300</f>
        <v/>
      </c>
      <c r="M300" s="5">
        <f>LEVEL!M300</f>
        <v/>
      </c>
      <c r="N300" s="5">
        <f>100*LN(LEVEL!N300)</f>
        <v/>
      </c>
      <c r="O300" s="5">
        <f>100*LN(LEVEL!O300)</f>
        <v/>
      </c>
      <c r="P300" s="6">
        <f>IF(AND(YEAR($A300)=2020,MONTH($A300)=3),1,0)</f>
        <v/>
      </c>
      <c r="Q300" s="6">
        <f>IF(AND(YEAR($A300)=2020,MONTH($A300)=4),1,0)</f>
        <v/>
      </c>
      <c r="R300" s="6">
        <f>IF(AND(YEAR($A300)=2020,MONTH($A300)=5),1,0)</f>
        <v/>
      </c>
      <c r="S300" s="6">
        <f>IF(AND(YEAR($A300)=2020,MONTH($A300)=6),1,0)</f>
        <v/>
      </c>
    </row>
    <row r="301">
      <c r="A301" s="3" t="n">
        <v>45627</v>
      </c>
      <c r="B301" s="4" t="inlineStr">
        <is>
          <t>2024m12</t>
        </is>
      </c>
      <c r="C301" s="5">
        <f>100*LN(LEVEL!C301)</f>
        <v/>
      </c>
      <c r="D301" s="5">
        <f>100*LN(LEVEL!D301)</f>
        <v/>
      </c>
      <c r="E301" s="5">
        <f>100*LN(LEVEL!E301)</f>
        <v/>
      </c>
      <c r="F301" s="5">
        <f>LEVEL!F301</f>
        <v/>
      </c>
      <c r="G301" s="5">
        <f>LEVEL!G301</f>
        <v/>
      </c>
      <c r="H301" s="5">
        <f>100*LN(LEVEL!H301)</f>
        <v/>
      </c>
      <c r="I301" s="5">
        <f>100*LN(LEVEL!I301)</f>
        <v/>
      </c>
      <c r="J301" s="5">
        <f>100*LN(LEVEL!J301)</f>
        <v/>
      </c>
      <c r="K301" s="5">
        <f>100*LN(LEVEL!K301)</f>
        <v/>
      </c>
      <c r="L301" s="5">
        <f>LEVEL!L301</f>
        <v/>
      </c>
      <c r="M301" s="5">
        <f>LEVEL!M301</f>
        <v/>
      </c>
      <c r="N301" s="5">
        <f>100*LN(LEVEL!N301)</f>
        <v/>
      </c>
      <c r="O301" s="5">
        <f>100*LN(LEVEL!O301)</f>
        <v/>
      </c>
      <c r="P301" s="6">
        <f>IF(AND(YEAR($A301)=2020,MONTH($A301)=3),1,0)</f>
        <v/>
      </c>
      <c r="Q301" s="6">
        <f>IF(AND(YEAR($A301)=2020,MONTH($A301)=4),1,0)</f>
        <v/>
      </c>
      <c r="R301" s="6">
        <f>IF(AND(YEAR($A301)=2020,MONTH($A301)=5),1,0)</f>
        <v/>
      </c>
      <c r="S301" s="6">
        <f>IF(AND(YEAR($A301)=2020,MONTH($A301)=6),1,0)</f>
        <v/>
      </c>
    </row>
    <row r="302">
      <c r="A302" s="3" t="n">
        <v>45658</v>
      </c>
      <c r="B302" s="4" t="inlineStr">
        <is>
          <t>2025m1</t>
        </is>
      </c>
      <c r="C302" s="5">
        <f>100*LN(LEVEL!C302)</f>
        <v/>
      </c>
      <c r="D302" s="5">
        <f>100*LN(LEVEL!D302)</f>
        <v/>
      </c>
      <c r="E302" s="5">
        <f>100*LN(LEVEL!E302)</f>
        <v/>
      </c>
      <c r="F302" s="5">
        <f>LEVEL!F302</f>
        <v/>
      </c>
      <c r="G302" s="5">
        <f>LEVEL!G302</f>
        <v/>
      </c>
      <c r="H302" s="5">
        <f>100*LN(LEVEL!H302)</f>
        <v/>
      </c>
      <c r="I302" s="5">
        <f>100*LN(LEVEL!I302)</f>
        <v/>
      </c>
      <c r="J302" s="5">
        <f>100*LN(LEVEL!J302)</f>
        <v/>
      </c>
      <c r="K302" s="5">
        <f>100*LN(LEVEL!K302)</f>
        <v/>
      </c>
      <c r="L302" s="5">
        <f>LEVEL!L302</f>
        <v/>
      </c>
      <c r="M302" s="5">
        <f>LEVEL!M302</f>
        <v/>
      </c>
      <c r="N302" s="5">
        <f>100*LN(LEVEL!N302)</f>
        <v/>
      </c>
      <c r="O302" s="5">
        <f>100*LN(LEVEL!O302)</f>
        <v/>
      </c>
      <c r="P302" s="6">
        <f>IF(AND(YEAR($A302)=2020,MONTH($A302)=3),1,0)</f>
        <v/>
      </c>
      <c r="Q302" s="6">
        <f>IF(AND(YEAR($A302)=2020,MONTH($A302)=4),1,0)</f>
        <v/>
      </c>
      <c r="R302" s="6">
        <f>IF(AND(YEAR($A302)=2020,MONTH($A302)=5),1,0)</f>
        <v/>
      </c>
      <c r="S302" s="6">
        <f>IF(AND(YEAR($A302)=2020,MONTH($A302)=6),1,0)</f>
        <v/>
      </c>
    </row>
    <row r="303">
      <c r="A303" s="3" t="n">
        <v>45689</v>
      </c>
      <c r="B303" s="4" t="inlineStr">
        <is>
          <t>2025m2</t>
        </is>
      </c>
      <c r="C303" s="5">
        <f>100*LN(LEVEL!C303)</f>
        <v/>
      </c>
      <c r="D303" s="5">
        <f>100*LN(LEVEL!D303)</f>
        <v/>
      </c>
      <c r="E303" s="5">
        <f>100*LN(LEVEL!E303)</f>
        <v/>
      </c>
      <c r="F303" s="5">
        <f>LEVEL!F303</f>
        <v/>
      </c>
      <c r="G303" s="5">
        <f>LEVEL!G303</f>
        <v/>
      </c>
      <c r="H303" s="5">
        <f>100*LN(LEVEL!H303)</f>
        <v/>
      </c>
      <c r="I303" s="5">
        <f>100*LN(LEVEL!I303)</f>
        <v/>
      </c>
      <c r="J303" s="5">
        <f>100*LN(LEVEL!J303)</f>
        <v/>
      </c>
      <c r="K303" s="5">
        <f>100*LN(LEVEL!K303)</f>
        <v/>
      </c>
      <c r="L303" s="5">
        <f>LEVEL!L303</f>
        <v/>
      </c>
      <c r="M303" s="5">
        <f>LEVEL!M303</f>
        <v/>
      </c>
      <c r="N303" s="5">
        <f>100*LN(LEVEL!N303)</f>
        <v/>
      </c>
      <c r="O303" s="5">
        <f>100*LN(LEVEL!O303)</f>
        <v/>
      </c>
      <c r="P303" s="6">
        <f>IF(AND(YEAR($A303)=2020,MONTH($A303)=3),1,0)</f>
        <v/>
      </c>
      <c r="Q303" s="6">
        <f>IF(AND(YEAR($A303)=2020,MONTH($A303)=4),1,0)</f>
        <v/>
      </c>
      <c r="R303" s="6">
        <f>IF(AND(YEAR($A303)=2020,MONTH($A303)=5),1,0)</f>
        <v/>
      </c>
      <c r="S303" s="6">
        <f>IF(AND(YEAR($A303)=2020,MONTH($A303)=6),1,0)</f>
        <v/>
      </c>
    </row>
    <row r="304">
      <c r="A304" s="3" t="n">
        <v>45717</v>
      </c>
      <c r="B304" s="4" t="inlineStr">
        <is>
          <t>2025m3</t>
        </is>
      </c>
      <c r="C304" s="5">
        <f>100*LN(LEVEL!C304)</f>
        <v/>
      </c>
      <c r="D304" s="5">
        <f>100*LN(LEVEL!D304)</f>
        <v/>
      </c>
      <c r="E304" s="5">
        <f>100*LN(LEVEL!E304)</f>
        <v/>
      </c>
      <c r="F304" s="5">
        <f>LEVEL!F304</f>
        <v/>
      </c>
      <c r="G304" s="5">
        <f>LEVEL!G304</f>
        <v/>
      </c>
      <c r="H304" s="5">
        <f>100*LN(LEVEL!H304)</f>
        <v/>
      </c>
      <c r="I304" s="5">
        <f>100*LN(LEVEL!I304)</f>
        <v/>
      </c>
      <c r="J304" s="5">
        <f>100*LN(LEVEL!J304)</f>
        <v/>
      </c>
      <c r="K304" s="5">
        <f>100*LN(LEVEL!K304)</f>
        <v/>
      </c>
      <c r="L304" s="5">
        <f>LEVEL!L304</f>
        <v/>
      </c>
      <c r="M304" s="5">
        <f>LEVEL!M304</f>
        <v/>
      </c>
      <c r="N304" s="5">
        <f>100*LN(LEVEL!N304)</f>
        <v/>
      </c>
      <c r="O304" s="5">
        <f>100*LN(LEVEL!O304)</f>
        <v/>
      </c>
      <c r="P304" s="6">
        <f>IF(AND(YEAR($A304)=2020,MONTH($A304)=3),1,0)</f>
        <v/>
      </c>
      <c r="Q304" s="6">
        <f>IF(AND(YEAR($A304)=2020,MONTH($A304)=4),1,0)</f>
        <v/>
      </c>
      <c r="R304" s="6">
        <f>IF(AND(YEAR($A304)=2020,MONTH($A304)=5),1,0)</f>
        <v/>
      </c>
      <c r="S304" s="6">
        <f>IF(AND(YEAR($A304)=2020,MONTH($A304)=6),1,0)</f>
        <v/>
      </c>
    </row>
    <row r="305">
      <c r="A305" s="3" t="n">
        <v>45748</v>
      </c>
      <c r="B305" s="4" t="inlineStr">
        <is>
          <t>2025m4</t>
        </is>
      </c>
      <c r="C305" s="5">
        <f>100*LN(LEVEL!C305)</f>
        <v/>
      </c>
      <c r="D305" s="5">
        <f>100*LN(LEVEL!D305)</f>
        <v/>
      </c>
      <c r="E305" s="5">
        <f>100*LN(LEVEL!E305)</f>
        <v/>
      </c>
      <c r="F305" s="5">
        <f>LEVEL!F305</f>
        <v/>
      </c>
      <c r="G305" s="5">
        <f>LEVEL!G305</f>
        <v/>
      </c>
      <c r="H305" s="5">
        <f>100*LN(LEVEL!H305)</f>
        <v/>
      </c>
      <c r="I305" s="5">
        <f>100*LN(LEVEL!I305)</f>
        <v/>
      </c>
      <c r="J305" s="5">
        <f>100*LN(LEVEL!J305)</f>
        <v/>
      </c>
      <c r="K305" s="5">
        <f>100*LN(LEVEL!K305)</f>
        <v/>
      </c>
      <c r="L305" s="5">
        <f>LEVEL!L305</f>
        <v/>
      </c>
      <c r="M305" s="5">
        <f>LEVEL!M305</f>
        <v/>
      </c>
      <c r="N305" s="5">
        <f>100*LN(LEVEL!N305)</f>
        <v/>
      </c>
      <c r="O305" s="5">
        <f>100*LN(LEVEL!O305)</f>
        <v/>
      </c>
      <c r="P305" s="6">
        <f>IF(AND(YEAR($A305)=2020,MONTH($A305)=3),1,0)</f>
        <v/>
      </c>
      <c r="Q305" s="6">
        <f>IF(AND(YEAR($A305)=2020,MONTH($A305)=4),1,0)</f>
        <v/>
      </c>
      <c r="R305" s="6">
        <f>IF(AND(YEAR($A305)=2020,MONTH($A305)=5),1,0)</f>
        <v/>
      </c>
      <c r="S305" s="6">
        <f>IF(AND(YEAR($A305)=2020,MONTH($A305)=6),1,0)</f>
        <v/>
      </c>
    </row>
    <row r="306">
      <c r="A306" s="3" t="n">
        <v>45778</v>
      </c>
      <c r="B306" s="4" t="inlineStr">
        <is>
          <t>2025m5</t>
        </is>
      </c>
      <c r="C306" s="5">
        <f>100*LN(LEVEL!C306)</f>
        <v/>
      </c>
      <c r="D306" s="5">
        <f>100*LN(LEVEL!D306)</f>
        <v/>
      </c>
      <c r="E306" s="5">
        <f>100*LN(LEVEL!E306)</f>
        <v/>
      </c>
      <c r="F306" s="5">
        <f>LEVEL!F306</f>
        <v/>
      </c>
      <c r="G306" s="5">
        <f>LEVEL!G306</f>
        <v/>
      </c>
      <c r="H306" s="5">
        <f>100*LN(LEVEL!H306)</f>
        <v/>
      </c>
      <c r="I306" s="5">
        <f>100*LN(LEVEL!I306)</f>
        <v/>
      </c>
      <c r="J306" s="5">
        <f>100*LN(LEVEL!J306)</f>
        <v/>
      </c>
      <c r="K306" s="5">
        <f>100*LN(LEVEL!K306)</f>
        <v/>
      </c>
      <c r="L306" s="5">
        <f>LEVEL!L306</f>
        <v/>
      </c>
      <c r="M306" s="5">
        <f>LEVEL!M306</f>
        <v/>
      </c>
      <c r="N306" s="5">
        <f>100*LN(LEVEL!N306)</f>
        <v/>
      </c>
      <c r="O306" s="5">
        <f>100*LN(LEVEL!O306)</f>
        <v/>
      </c>
      <c r="P306" s="6">
        <f>IF(AND(YEAR($A306)=2020,MONTH($A306)=3),1,0)</f>
        <v/>
      </c>
      <c r="Q306" s="6">
        <f>IF(AND(YEAR($A306)=2020,MONTH($A306)=4),1,0)</f>
        <v/>
      </c>
      <c r="R306" s="6">
        <f>IF(AND(YEAR($A306)=2020,MONTH($A306)=5),1,0)</f>
        <v/>
      </c>
      <c r="S306" s="6">
        <f>IF(AND(YEAR($A306)=2020,MONTH($A306)=6),1,0)</f>
        <v/>
      </c>
    </row>
    <row r="307">
      <c r="A307" s="3" t="n">
        <v>45809</v>
      </c>
      <c r="B307" s="4" t="inlineStr">
        <is>
          <t>2025m6</t>
        </is>
      </c>
      <c r="C307" s="5">
        <f>100*LN(LEVEL!C307)</f>
        <v/>
      </c>
      <c r="D307" s="5">
        <f>100*LN(LEVEL!D307)</f>
        <v/>
      </c>
      <c r="E307" s="5">
        <f>100*LN(LEVEL!E307)</f>
        <v/>
      </c>
      <c r="F307" s="5">
        <f>LEVEL!F307</f>
        <v/>
      </c>
      <c r="G307" s="5">
        <f>LEVEL!G307</f>
        <v/>
      </c>
      <c r="H307" s="5">
        <f>100*LN(LEVEL!H307)</f>
        <v/>
      </c>
      <c r="I307" s="5">
        <f>100*LN(LEVEL!I307)</f>
        <v/>
      </c>
      <c r="J307" s="5">
        <f>100*LN(LEVEL!J307)</f>
        <v/>
      </c>
      <c r="K307" s="5">
        <f>100*LN(LEVEL!K307)</f>
        <v/>
      </c>
      <c r="L307" s="5">
        <f>LEVEL!L307</f>
        <v/>
      </c>
      <c r="M307" s="5">
        <f>LEVEL!M307</f>
        <v/>
      </c>
      <c r="N307" s="5">
        <f>100*LN(LEVEL!N307)</f>
        <v/>
      </c>
      <c r="O307" s="5">
        <f>100*LN(LEVEL!O307)</f>
        <v/>
      </c>
      <c r="P307" s="6">
        <f>IF(AND(YEAR($A307)=2020,MONTH($A307)=3),1,0)</f>
        <v/>
      </c>
      <c r="Q307" s="6">
        <f>IF(AND(YEAR($A307)=2020,MONTH($A307)=4),1,0)</f>
        <v/>
      </c>
      <c r="R307" s="6">
        <f>IF(AND(YEAR($A307)=2020,MONTH($A307)=5),1,0)</f>
        <v/>
      </c>
      <c r="S307" s="6">
        <f>IF(AND(YEAR($A307)=2020,MONTH($A307)=6),1,0)</f>
        <v/>
      </c>
    </row>
    <row r="308">
      <c r="A308" s="3" t="n">
        <v>45839</v>
      </c>
      <c r="B308" s="4" t="inlineStr">
        <is>
          <t>2025m7</t>
        </is>
      </c>
      <c r="C308" s="5">
        <f>100*LN(LEVEL!C308)</f>
        <v/>
      </c>
      <c r="D308" s="5">
        <f>100*LN(LEVEL!D308)</f>
        <v/>
      </c>
      <c r="E308" s="5">
        <f>100*LN(LEVEL!E308)</f>
        <v/>
      </c>
      <c r="F308" s="5">
        <f>LEVEL!F308</f>
        <v/>
      </c>
      <c r="G308" s="5">
        <f>LEVEL!G308</f>
        <v/>
      </c>
      <c r="H308" s="5">
        <f>100*LN(LEVEL!H308)</f>
        <v/>
      </c>
      <c r="I308" s="5">
        <f>100*LN(LEVEL!I308)</f>
        <v/>
      </c>
      <c r="J308" s="5">
        <f>100*LN(LEVEL!J308)</f>
        <v/>
      </c>
      <c r="K308" s="5">
        <f>100*LN(LEVEL!K308)</f>
        <v/>
      </c>
      <c r="L308" s="5">
        <f>LEVEL!L308</f>
        <v/>
      </c>
      <c r="M308" s="5">
        <f>LEVEL!M308</f>
        <v/>
      </c>
      <c r="N308" s="5">
        <f>100*LN(LEVEL!N308)</f>
        <v/>
      </c>
      <c r="O308" s="5">
        <f>100*LN(LEVEL!O308)</f>
        <v/>
      </c>
      <c r="P308" s="6">
        <f>IF(AND(YEAR($A308)=2020,MONTH($A308)=3),1,0)</f>
        <v/>
      </c>
      <c r="Q308" s="6">
        <f>IF(AND(YEAR($A308)=2020,MONTH($A308)=4),1,0)</f>
        <v/>
      </c>
      <c r="R308" s="6">
        <f>IF(AND(YEAR($A308)=2020,MONTH($A308)=5),1,0)</f>
        <v/>
      </c>
      <c r="S308" s="6">
        <f>IF(AND(YEAR($A308)=2020,MONTH($A308)=6),1,0)</f>
        <v/>
      </c>
    </row>
    <row r="309">
      <c r="A309" s="3" t="n">
        <v>45870</v>
      </c>
      <c r="B309" s="4" t="inlineStr">
        <is>
          <t>2025m8</t>
        </is>
      </c>
      <c r="C309" s="5">
        <f>100*LN(LEVEL!C309)</f>
        <v/>
      </c>
      <c r="D309" s="5">
        <f>100*LN(LEVEL!D309)</f>
        <v/>
      </c>
      <c r="E309" s="5">
        <f>100*LN(LEVEL!E309)</f>
        <v/>
      </c>
      <c r="F309" s="5">
        <f>LEVEL!F309</f>
        <v/>
      </c>
      <c r="G309" s="5">
        <f>LEVEL!G309</f>
        <v/>
      </c>
      <c r="H309" s="5">
        <f>100*LN(LEVEL!H309)</f>
        <v/>
      </c>
      <c r="I309" s="5">
        <f>100*LN(LEVEL!I309)</f>
        <v/>
      </c>
      <c r="J309" s="5">
        <f>100*LN(LEVEL!J309)</f>
        <v/>
      </c>
      <c r="K309" s="5">
        <f>100*LN(LEVEL!K309)</f>
        <v/>
      </c>
      <c r="L309" s="5">
        <f>LEVEL!L309</f>
        <v/>
      </c>
      <c r="M309" s="5">
        <f>LEVEL!M309</f>
        <v/>
      </c>
      <c r="N309" s="5">
        <f>100*LN(LEVEL!N309)</f>
        <v/>
      </c>
      <c r="O309" s="5">
        <f>100*LN(LEVEL!O309)</f>
        <v/>
      </c>
      <c r="P309" s="6">
        <f>IF(AND(YEAR($A309)=2020,MONTH($A309)=3),1,0)</f>
        <v/>
      </c>
      <c r="Q309" s="6">
        <f>IF(AND(YEAR($A309)=2020,MONTH($A309)=4),1,0)</f>
        <v/>
      </c>
      <c r="R309" s="6">
        <f>IF(AND(YEAR($A309)=2020,MONTH($A309)=5),1,0)</f>
        <v/>
      </c>
      <c r="S309" s="6">
        <f>IF(AND(YEAR($A309)=2020,MONTH($A309)=6),1,0)</f>
        <v/>
      </c>
    </row>
    <row r="310">
      <c r="A310" s="3" t="n">
        <v>45901</v>
      </c>
      <c r="B310" s="4" t="inlineStr">
        <is>
          <t>2025m9</t>
        </is>
      </c>
      <c r="C310" s="5">
        <f>100*LN(LEVEL!C310)</f>
        <v/>
      </c>
      <c r="D310" s="5">
        <f>100*LN(LEVEL!D310)</f>
        <v/>
      </c>
      <c r="E310" s="5">
        <f>100*LN(LEVEL!E310)</f>
        <v/>
      </c>
      <c r="F310" s="5">
        <f>LEVEL!F310</f>
        <v/>
      </c>
      <c r="G310" s="5">
        <f>LEVEL!G310</f>
        <v/>
      </c>
      <c r="H310" s="5">
        <f>100*LN(LEVEL!H310)</f>
        <v/>
      </c>
      <c r="I310" s="5">
        <f>100*LN(LEVEL!I310)</f>
        <v/>
      </c>
      <c r="J310" s="5">
        <f>100*LN(LEVEL!J310)</f>
        <v/>
      </c>
      <c r="K310" s="5">
        <f>100*LN(LEVEL!K310)</f>
        <v/>
      </c>
      <c r="L310" s="5">
        <f>LEVEL!L310</f>
        <v/>
      </c>
      <c r="M310" s="5">
        <f>LEVEL!M310</f>
        <v/>
      </c>
      <c r="N310" s="5">
        <f>100*LN(LEVEL!N310)</f>
        <v/>
      </c>
      <c r="O310" s="5">
        <f>100*LN(LEVEL!O310)</f>
        <v/>
      </c>
      <c r="P310" s="6">
        <f>IF(AND(YEAR($A310)=2020,MONTH($A310)=3),1,0)</f>
        <v/>
      </c>
      <c r="Q310" s="6">
        <f>IF(AND(YEAR($A310)=2020,MONTH($A310)=4),1,0)</f>
        <v/>
      </c>
      <c r="R310" s="6">
        <f>IF(AND(YEAR($A310)=2020,MONTH($A310)=5),1,0)</f>
        <v/>
      </c>
      <c r="S310" s="6">
        <f>IF(AND(YEAR($A310)=2020,MONTH($A310)=6),1,0)</f>
        <v/>
      </c>
    </row>
    <row r="311">
      <c r="A311" s="3" t="n">
        <v>45931</v>
      </c>
      <c r="B311" s="4" t="inlineStr">
        <is>
          <t>2025m10</t>
        </is>
      </c>
      <c r="C311" s="5">
        <f>100*LN(LEVEL!C311)</f>
        <v/>
      </c>
      <c r="D311" s="5">
        <f>100*LN(LEVEL!D311)</f>
        <v/>
      </c>
      <c r="E311" s="5">
        <f>100*LN(LEVEL!E311)</f>
        <v/>
      </c>
      <c r="F311" s="5">
        <f>LEVEL!F311</f>
        <v/>
      </c>
      <c r="G311" s="5">
        <f>LEVEL!G311</f>
        <v/>
      </c>
      <c r="H311" s="5">
        <f>100*LN(LEVEL!H311)</f>
        <v/>
      </c>
      <c r="I311" s="5">
        <f>100*LN(LEVEL!I311)</f>
        <v/>
      </c>
      <c r="J311" s="5">
        <f>100*LN(LEVEL!J311)</f>
        <v/>
      </c>
      <c r="K311" s="5">
        <f>100*LN(LEVEL!K311)</f>
        <v/>
      </c>
      <c r="L311" s="5">
        <f>LEVEL!L311</f>
        <v/>
      </c>
      <c r="M311" s="5">
        <f>LEVEL!M311</f>
        <v/>
      </c>
      <c r="N311" s="5">
        <f>100*LN(LEVEL!N311)</f>
        <v/>
      </c>
      <c r="O311" s="5">
        <f>100*LN(LEVEL!O311)</f>
        <v/>
      </c>
      <c r="P311" s="6">
        <f>IF(AND(YEAR($A311)=2020,MONTH($A311)=3),1,0)</f>
        <v/>
      </c>
      <c r="Q311" s="6">
        <f>IF(AND(YEAR($A311)=2020,MONTH($A311)=4),1,0)</f>
        <v/>
      </c>
      <c r="R311" s="6">
        <f>IF(AND(YEAR($A311)=2020,MONTH($A311)=5),1,0)</f>
        <v/>
      </c>
      <c r="S311" s="6">
        <f>IF(AND(YEAR($A311)=2020,MONTH($A311)=6),1,0)</f>
        <v/>
      </c>
    </row>
    <row r="312">
      <c r="A312" s="3" t="n">
        <v>45962</v>
      </c>
      <c r="B312" s="4" t="inlineStr">
        <is>
          <t>2025m11</t>
        </is>
      </c>
      <c r="C312" s="5">
        <f>100*LN(LEVEL!C312)</f>
        <v/>
      </c>
      <c r="D312" s="5">
        <f>100*LN(LEVEL!D312)</f>
        <v/>
      </c>
      <c r="E312" s="5">
        <f>100*LN(LEVEL!E312)</f>
        <v/>
      </c>
      <c r="F312" s="5">
        <f>LEVEL!F312</f>
        <v/>
      </c>
      <c r="G312" s="5">
        <f>LEVEL!G312</f>
        <v/>
      </c>
      <c r="H312" s="5">
        <f>100*LN(LEVEL!H312)</f>
        <v/>
      </c>
      <c r="I312" s="5">
        <f>100*LN(LEVEL!I312)</f>
        <v/>
      </c>
      <c r="J312" s="5">
        <f>100*LN(LEVEL!J312)</f>
        <v/>
      </c>
      <c r="K312" s="5">
        <f>100*LN(LEVEL!K312)</f>
        <v/>
      </c>
      <c r="L312" s="5">
        <f>LEVEL!L312</f>
        <v/>
      </c>
      <c r="M312" s="5">
        <f>LEVEL!M312</f>
        <v/>
      </c>
      <c r="N312" s="5">
        <f>100*LN(LEVEL!N312)</f>
        <v/>
      </c>
      <c r="O312" s="5">
        <f>100*LN(LEVEL!O312)</f>
        <v/>
      </c>
      <c r="P312" s="6">
        <f>IF(AND(YEAR($A312)=2020,MONTH($A312)=3),1,0)</f>
        <v/>
      </c>
      <c r="Q312" s="6">
        <f>IF(AND(YEAR($A312)=2020,MONTH($A312)=4),1,0)</f>
        <v/>
      </c>
      <c r="R312" s="6">
        <f>IF(AND(YEAR($A312)=2020,MONTH($A312)=5),1,0)</f>
        <v/>
      </c>
      <c r="S312" s="6">
        <f>IF(AND(YEAR($A312)=2020,MONTH($A312)=6),1,0)</f>
        <v/>
      </c>
    </row>
    <row r="313">
      <c r="A313" s="3" t="n">
        <v>45992</v>
      </c>
      <c r="B313" s="4" t="inlineStr">
        <is>
          <t>2025m12</t>
        </is>
      </c>
      <c r="C313" s="5">
        <f>100*LN(LEVEL!C313)</f>
        <v/>
      </c>
      <c r="D313" s="5">
        <f>100*LN(LEVEL!D313)</f>
        <v/>
      </c>
      <c r="E313" s="5">
        <f>100*LN(LEVEL!E313)</f>
        <v/>
      </c>
      <c r="F313" s="5">
        <f>LEVEL!F313</f>
        <v/>
      </c>
      <c r="G313" s="5">
        <f>LEVEL!G313</f>
        <v/>
      </c>
      <c r="H313" s="5">
        <f>100*LN(LEVEL!H313)</f>
        <v/>
      </c>
      <c r="I313" s="5">
        <f>100*LN(LEVEL!I313)</f>
        <v/>
      </c>
      <c r="J313" s="5">
        <f>100*LN(LEVEL!J313)</f>
        <v/>
      </c>
      <c r="K313" s="5">
        <f>100*LN(LEVEL!K313)</f>
        <v/>
      </c>
      <c r="L313" s="5">
        <f>LEVEL!L313</f>
        <v/>
      </c>
      <c r="M313" s="5">
        <f>LEVEL!M313</f>
        <v/>
      </c>
      <c r="N313" s="5">
        <f>100*LN(LEVEL!N313)</f>
        <v/>
      </c>
      <c r="O313" s="5">
        <f>100*LN(LEVEL!O313)</f>
        <v/>
      </c>
      <c r="P313" s="6">
        <f>IF(AND(YEAR($A313)=2020,MONTH($A313)=3),1,0)</f>
        <v/>
      </c>
      <c r="Q313" s="6">
        <f>IF(AND(YEAR($A313)=2020,MONTH($A313)=4),1,0)</f>
        <v/>
      </c>
      <c r="R313" s="6">
        <f>IF(AND(YEAR($A313)=2020,MONTH($A313)=5),1,0)</f>
        <v/>
      </c>
      <c r="S313" s="6">
        <f>IF(AND(YEAR($A313)=2020,MONTH($A313)=6),1,0)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date</t>
        </is>
      </c>
      <c r="B1" s="1" t="inlineStr">
        <is>
          <t>ym</t>
        </is>
      </c>
      <c r="C1" s="1" t="inlineStr">
        <is>
          <t>usip</t>
        </is>
      </c>
      <c r="D1" s="1" t="inlineStr">
        <is>
          <t>chn</t>
        </is>
      </c>
      <c r="E1" s="1" t="inlineStr">
        <is>
          <t>oil</t>
        </is>
      </c>
      <c r="F1" s="1" t="inlineStr">
        <is>
          <t>us2y</t>
        </is>
      </c>
      <c r="G1" s="1" t="inlineStr">
        <is>
          <t>ebp</t>
        </is>
      </c>
      <c r="H1" s="1" t="inlineStr">
        <is>
          <t>vix</t>
        </is>
      </c>
      <c r="I1" s="1" t="inlineStr">
        <is>
          <t>usepu</t>
        </is>
      </c>
      <c r="J1" s="1" t="inlineStr">
        <is>
          <t>ip</t>
        </is>
      </c>
      <c r="K1" s="1" t="inlineStr">
        <is>
          <t>cpi</t>
        </is>
      </c>
      <c r="L1" s="1" t="inlineStr">
        <is>
          <t>kr_call</t>
        </is>
      </c>
      <c r="M1" s="1" t="inlineStr">
        <is>
          <t>spread</t>
        </is>
      </c>
      <c r="N1" s="1" t="inlineStr">
        <is>
          <t>fx</t>
        </is>
      </c>
      <c r="O1" s="1" t="inlineStr">
        <is>
          <t>krepu</t>
        </is>
      </c>
    </row>
    <row r="2">
      <c r="A2" s="3" t="n">
        <v>36526</v>
      </c>
      <c r="B2" s="4" t="inlineStr">
        <is>
          <t>2000m1</t>
        </is>
      </c>
      <c r="C2" s="5" t="n">
        <v>91.538</v>
      </c>
      <c r="D2" s="5" t="n">
        <v>10.8300044385264</v>
      </c>
      <c r="E2" s="5" t="n">
        <v>23.2785</v>
      </c>
      <c r="F2" s="5" t="n">
        <v>6.44</v>
      </c>
      <c r="G2" s="5" t="n">
        <v>0.06690184</v>
      </c>
      <c r="H2" s="5" t="n">
        <v>23.202</v>
      </c>
      <c r="I2" s="5" t="n">
        <v>88.98869391073669</v>
      </c>
      <c r="J2" s="5" t="n">
        <v>52.5</v>
      </c>
      <c r="K2" s="5" t="n">
        <v>62.456</v>
      </c>
      <c r="L2" s="5" t="n">
        <v>4.763333333333334</v>
      </c>
      <c r="M2" s="5" t="n">
        <v>0.9700000000000006</v>
      </c>
      <c r="N2" s="5" t="n">
        <v>1130.32</v>
      </c>
      <c r="O2" s="5" t="n">
        <v>55.09235382080078</v>
      </c>
    </row>
    <row r="3">
      <c r="A3" s="3" t="n">
        <v>36557</v>
      </c>
      <c r="B3" s="4" t="inlineStr">
        <is>
          <t>2000m2</t>
        </is>
      </c>
      <c r="C3" s="5" t="n">
        <v>91.82389999999999</v>
      </c>
      <c r="D3" s="5" t="n">
        <v>10.9187749667111</v>
      </c>
      <c r="E3" s="5" t="n">
        <v>24.68047619047619</v>
      </c>
      <c r="F3" s="5" t="n">
        <v>6.61</v>
      </c>
      <c r="G3" s="5" t="n">
        <v>0.1556577914621175</v>
      </c>
      <c r="H3" s="5" t="n">
        <v>23.5955</v>
      </c>
      <c r="I3" s="5" t="n">
        <v>73.3651997030655</v>
      </c>
      <c r="J3" s="5" t="n">
        <v>52.6</v>
      </c>
      <c r="K3" s="5" t="n">
        <v>62.647</v>
      </c>
      <c r="L3" s="5" t="n">
        <v>5.006086956521739</v>
      </c>
      <c r="M3" s="5" t="n">
        <v>1.02</v>
      </c>
      <c r="N3" s="5" t="n">
        <v>1129.29</v>
      </c>
      <c r="O3" s="5" t="n">
        <v>33.02025604248047</v>
      </c>
    </row>
    <row r="4">
      <c r="A4" s="3" t="n">
        <v>36586</v>
      </c>
      <c r="B4" s="4" t="inlineStr">
        <is>
          <t>2000m3</t>
        </is>
      </c>
      <c r="C4" s="5" t="n">
        <v>92.1504</v>
      </c>
      <c r="D4" s="5" t="n">
        <v>10.936529072348</v>
      </c>
      <c r="E4" s="5" t="n">
        <v>25.09608695652174</v>
      </c>
      <c r="F4" s="5" t="n">
        <v>6.53</v>
      </c>
      <c r="G4" s="5" t="n">
        <v>0.4192960630478923</v>
      </c>
      <c r="H4" s="5" t="n">
        <v>22.71826086956522</v>
      </c>
      <c r="I4" s="5" t="n">
        <v>73.29862438174338</v>
      </c>
      <c r="J4" s="5" t="n">
        <v>53.6</v>
      </c>
      <c r="K4" s="5" t="n">
        <v>62.962</v>
      </c>
      <c r="L4" s="5" t="n">
        <v>5.093846153846154</v>
      </c>
      <c r="M4" s="5" t="n">
        <v>0.9399999999999995</v>
      </c>
      <c r="N4" s="5" t="n">
        <v>1115.745454545455</v>
      </c>
      <c r="O4" s="5" t="n">
        <v>33.10464096069336</v>
      </c>
    </row>
    <row r="5">
      <c r="A5" s="3" t="n">
        <v>36617</v>
      </c>
      <c r="B5" s="4" t="inlineStr">
        <is>
          <t>2000m4</t>
        </is>
      </c>
      <c r="C5" s="5" t="n">
        <v>92.69889999999999</v>
      </c>
      <c r="D5" s="5" t="n">
        <v>11.0430537061696</v>
      </c>
      <c r="E5" s="5" t="n">
        <v>22.02611111111111</v>
      </c>
      <c r="F5" s="5" t="n">
        <v>6.4</v>
      </c>
      <c r="G5" s="5" t="n">
        <v>0.5774780059092626</v>
      </c>
      <c r="H5" s="5" t="n">
        <v>27.16421052631579</v>
      </c>
      <c r="I5" s="5" t="n">
        <v>70.59974192111534</v>
      </c>
      <c r="J5" s="5" t="n">
        <v>53.4</v>
      </c>
      <c r="K5" s="5" t="n">
        <v>62.709</v>
      </c>
      <c r="L5" s="5" t="n">
        <v>5.085652173913044</v>
      </c>
      <c r="M5" s="5" t="n">
        <v>1.020000000000001</v>
      </c>
      <c r="N5" s="5" t="n">
        <v>1110.011111111111</v>
      </c>
      <c r="O5" s="5" t="n">
        <v>74.56822967529297</v>
      </c>
    </row>
    <row r="6">
      <c r="A6" s="3" t="n">
        <v>36647</v>
      </c>
      <c r="B6" s="4" t="inlineStr">
        <is>
          <t>2000m5</t>
        </is>
      </c>
      <c r="C6" s="5" t="n">
        <v>92.9499</v>
      </c>
      <c r="D6" s="5" t="n">
        <v>11.1673324456281</v>
      </c>
      <c r="E6" s="5" t="n">
        <v>25.50636363636363</v>
      </c>
      <c r="F6" s="5" t="n">
        <v>6.81</v>
      </c>
      <c r="G6" s="5" t="n">
        <v>0.7601493397842645</v>
      </c>
      <c r="H6" s="5" t="n">
        <v>26.37318181818182</v>
      </c>
      <c r="I6" s="5" t="n">
        <v>118.1432082152801</v>
      </c>
      <c r="J6" s="5" t="n">
        <v>54.9</v>
      </c>
      <c r="K6" s="5" t="n">
        <v>62.393</v>
      </c>
      <c r="L6" s="5" t="n">
        <v>5.112083333333334</v>
      </c>
      <c r="M6" s="5" t="n">
        <v>0.9499999999999993</v>
      </c>
      <c r="N6" s="5" t="n">
        <v>1121.37</v>
      </c>
      <c r="O6" s="5" t="n">
        <v>126.7980651855469</v>
      </c>
    </row>
    <row r="7">
      <c r="A7" s="3" t="n">
        <v>36678</v>
      </c>
      <c r="B7" s="4" t="inlineStr">
        <is>
          <t>2000m6</t>
        </is>
      </c>
      <c r="C7" s="5" t="n">
        <v>92.9862</v>
      </c>
      <c r="D7" s="5" t="n">
        <v>11.2916111850866</v>
      </c>
      <c r="E7" s="5" t="n">
        <v>27.32409090909091</v>
      </c>
      <c r="F7" s="5" t="n">
        <v>6.48</v>
      </c>
      <c r="G7" s="5" t="n">
        <v>0.8089643226824328</v>
      </c>
      <c r="H7" s="5" t="n">
        <v>21.54</v>
      </c>
      <c r="I7" s="5" t="n">
        <v>109.5842293823177</v>
      </c>
      <c r="J7" s="5" t="n">
        <v>55.1</v>
      </c>
      <c r="K7" s="5" t="n">
        <v>62.709</v>
      </c>
      <c r="L7" s="5" t="n">
        <v>5.1104</v>
      </c>
      <c r="M7" s="5" t="n">
        <v>1.06</v>
      </c>
      <c r="N7" s="5" t="n">
        <v>1117.666666666667</v>
      </c>
      <c r="O7" s="5" t="n">
        <v>115.8644561767578</v>
      </c>
    </row>
    <row r="8">
      <c r="A8" s="3" t="n">
        <v>36708</v>
      </c>
      <c r="B8" s="4" t="inlineStr">
        <is>
          <t>2000m7</t>
        </is>
      </c>
      <c r="C8" s="5" t="n">
        <v>92.8048</v>
      </c>
      <c r="D8" s="5" t="n">
        <v>11.4691522414558</v>
      </c>
      <c r="E8" s="5" t="n">
        <v>26.00666666666667</v>
      </c>
      <c r="F8" s="5" t="n">
        <v>6.34</v>
      </c>
      <c r="G8" s="5" t="n">
        <v>0.8887928989613165</v>
      </c>
      <c r="H8" s="5" t="n">
        <v>19.893</v>
      </c>
      <c r="I8" s="5" t="n">
        <v>86.65834800601013</v>
      </c>
      <c r="J8" s="5" t="n">
        <v>55.7</v>
      </c>
      <c r="K8" s="5" t="n">
        <v>62.962</v>
      </c>
      <c r="L8" s="5" t="n">
        <v>5.1212</v>
      </c>
      <c r="M8" s="5" t="n">
        <v>1.130000000000001</v>
      </c>
      <c r="N8" s="5" t="n">
        <v>1114.945</v>
      </c>
      <c r="O8" s="5" t="n">
        <v>58.34344100952148</v>
      </c>
    </row>
    <row r="9">
      <c r="A9" s="3" t="n">
        <v>36739</v>
      </c>
      <c r="B9" s="4" t="inlineStr">
        <is>
          <t>2000m8</t>
        </is>
      </c>
      <c r="C9" s="5" t="n">
        <v>92.5521</v>
      </c>
      <c r="D9" s="5" t="n">
        <v>11.5934309809143</v>
      </c>
      <c r="E9" s="5" t="n">
        <v>27.0604347826087</v>
      </c>
      <c r="F9" s="5" t="n">
        <v>6.23</v>
      </c>
      <c r="G9" s="5" t="n">
        <v>1.042631082482667</v>
      </c>
      <c r="H9" s="5" t="n">
        <v>18.08869565217391</v>
      </c>
      <c r="I9" s="5" t="n">
        <v>58.9064610781457</v>
      </c>
      <c r="J9" s="5" t="n">
        <v>55.4</v>
      </c>
      <c r="K9" s="5" t="n">
        <v>63.277</v>
      </c>
      <c r="L9" s="5" t="n">
        <v>5.125769230769231</v>
      </c>
      <c r="M9" s="5" t="n">
        <v>1.15</v>
      </c>
      <c r="N9" s="5" t="n">
        <v>1114.104545454545</v>
      </c>
      <c r="O9" s="5" t="n">
        <v>44.88225555419922</v>
      </c>
    </row>
    <row r="10">
      <c r="A10" s="3" t="n">
        <v>36770</v>
      </c>
      <c r="B10" s="4" t="inlineStr">
        <is>
          <t>2000m9</t>
        </is>
      </c>
      <c r="C10" s="5" t="n">
        <v>92.97920000000001</v>
      </c>
      <c r="D10" s="5" t="n">
        <v>11.5934309809143</v>
      </c>
      <c r="E10" s="5" t="n">
        <v>29.75952380952381</v>
      </c>
      <c r="F10" s="5" t="n">
        <v>6.08</v>
      </c>
      <c r="G10" s="5" t="n">
        <v>1.149188059614679</v>
      </c>
      <c r="H10" s="5" t="n">
        <v>19.6875</v>
      </c>
      <c r="I10" s="5" t="n">
        <v>73.55099246733765</v>
      </c>
      <c r="J10" s="5" t="n">
        <v>54.9</v>
      </c>
      <c r="K10" s="5" t="n">
        <v>64.098</v>
      </c>
      <c r="L10" s="5" t="n">
        <v>5.11</v>
      </c>
      <c r="M10" s="5" t="n">
        <v>1.04</v>
      </c>
      <c r="N10" s="5" t="n">
        <v>1117.077777777778</v>
      </c>
      <c r="O10" s="5" t="n">
        <v>121.4242248535156</v>
      </c>
    </row>
    <row r="11">
      <c r="A11" s="3" t="n">
        <v>36800</v>
      </c>
      <c r="B11" s="4" t="inlineStr">
        <is>
          <t>2000m10</t>
        </is>
      </c>
      <c r="C11" s="5" t="n">
        <v>92.61790000000001</v>
      </c>
      <c r="D11" s="5" t="n">
        <v>11.6999556147359</v>
      </c>
      <c r="E11" s="5" t="n">
        <v>30.22227272727273</v>
      </c>
      <c r="F11" s="5" t="n">
        <v>5.91</v>
      </c>
      <c r="G11" s="5" t="n">
        <v>1.539521625174793</v>
      </c>
      <c r="H11" s="5" t="n">
        <v>25.2</v>
      </c>
      <c r="I11" s="5" t="n">
        <v>89.91344671287975</v>
      </c>
      <c r="J11" s="5" t="n">
        <v>54.9</v>
      </c>
      <c r="K11" s="5" t="n">
        <v>64.035</v>
      </c>
      <c r="L11" s="5" t="n">
        <v>5.320399999999999</v>
      </c>
      <c r="M11" s="5" t="n">
        <v>0.8800000000000008</v>
      </c>
      <c r="N11" s="5" t="n">
        <v>1128.914285714286</v>
      </c>
      <c r="O11" s="5" t="n">
        <v>66.01675415039062</v>
      </c>
    </row>
    <row r="12">
      <c r="A12" s="3" t="n">
        <v>36831</v>
      </c>
      <c r="B12" s="4" t="inlineStr">
        <is>
          <t>2000m11</t>
        </is>
      </c>
      <c r="C12" s="5" t="n">
        <v>92.6438</v>
      </c>
      <c r="D12" s="5" t="n">
        <v>11.8242343541944</v>
      </c>
      <c r="E12" s="5" t="n">
        <v>30.10090909090909</v>
      </c>
      <c r="F12" s="5" t="n">
        <v>5.88</v>
      </c>
      <c r="G12" s="5" t="n">
        <v>1.621507380741563</v>
      </c>
      <c r="H12" s="5" t="n">
        <v>26.38285714285714</v>
      </c>
      <c r="I12" s="5" t="n">
        <v>166.1840323907764</v>
      </c>
      <c r="J12" s="5" t="n">
        <v>54.4</v>
      </c>
      <c r="K12" s="5" t="n">
        <v>63.656</v>
      </c>
      <c r="L12" s="5" t="n">
        <v>5.331538461538462</v>
      </c>
      <c r="M12" s="5" t="n">
        <v>1.11</v>
      </c>
      <c r="N12" s="5" t="n">
        <v>1155.85</v>
      </c>
      <c r="O12" s="5" t="n">
        <v>232.6700897216797</v>
      </c>
    </row>
    <row r="13">
      <c r="A13" s="3" t="n">
        <v>36861</v>
      </c>
      <c r="B13" s="4" t="inlineStr">
        <is>
          <t>2000m12</t>
        </is>
      </c>
      <c r="C13" s="5" t="n">
        <v>92.3415</v>
      </c>
      <c r="D13" s="5" t="n">
        <v>11.8952507767421</v>
      </c>
      <c r="E13" s="5" t="n">
        <v>22.086</v>
      </c>
      <c r="F13" s="5" t="n">
        <v>5.35</v>
      </c>
      <c r="G13" s="5" t="n">
        <v>1.620437898</v>
      </c>
      <c r="H13" s="5" t="n">
        <v>26.5305</v>
      </c>
      <c r="I13" s="5" t="n">
        <v>149.4485001795515</v>
      </c>
      <c r="J13" s="5" t="n">
        <v>53.5</v>
      </c>
      <c r="K13" s="5" t="n">
        <v>63.908</v>
      </c>
      <c r="L13" s="5" t="n">
        <v>5.337999999999999</v>
      </c>
      <c r="M13" s="5" t="n">
        <v>1.329999999999999</v>
      </c>
      <c r="N13" s="5" t="n">
        <v>1216.185</v>
      </c>
      <c r="O13" s="5" t="n">
        <v>140.2816009521484</v>
      </c>
    </row>
    <row r="14">
      <c r="A14" s="3" t="n">
        <v>36892</v>
      </c>
      <c r="B14" s="4" t="inlineStr">
        <is>
          <t>2001m1</t>
        </is>
      </c>
      <c r="C14" s="5" t="n">
        <v>91.902</v>
      </c>
      <c r="D14" s="5" t="n">
        <v>11.913004882379</v>
      </c>
      <c r="E14" s="5" t="n">
        <v>22.68545454545454</v>
      </c>
      <c r="F14" s="5" t="n">
        <v>4.76</v>
      </c>
      <c r="G14" s="5" t="n">
        <v>1.166268729639786</v>
      </c>
      <c r="H14" s="5" t="n">
        <v>24.91857142857143</v>
      </c>
      <c r="I14" s="5" t="n">
        <v>142.6141247131186</v>
      </c>
      <c r="J14" s="5" t="n">
        <v>54.7</v>
      </c>
      <c r="K14" s="5" t="n">
        <v>64.604</v>
      </c>
      <c r="L14" s="5" t="n">
        <v>5.29421052631579</v>
      </c>
      <c r="M14" s="5" t="n">
        <v>1.77</v>
      </c>
      <c r="N14" s="5" t="n">
        <v>1271.894736842105</v>
      </c>
      <c r="O14" s="5" t="n">
        <v>122.6897048950195</v>
      </c>
    </row>
    <row r="15">
      <c r="A15" s="3" t="n">
        <v>36923</v>
      </c>
      <c r="B15" s="4" t="inlineStr">
        <is>
          <t>2001m2</t>
        </is>
      </c>
      <c r="C15" s="5" t="n">
        <v>91.3034</v>
      </c>
      <c r="D15" s="5" t="n">
        <v>12.0017754105637</v>
      </c>
      <c r="E15" s="5" t="n">
        <v>24.742</v>
      </c>
      <c r="F15" s="5" t="n">
        <v>4.66</v>
      </c>
      <c r="G15" s="5" t="n">
        <v>1.199211376935693</v>
      </c>
      <c r="H15" s="5" t="n">
        <v>23.41157894736842</v>
      </c>
      <c r="I15" s="5" t="n">
        <v>128.625655351071</v>
      </c>
      <c r="J15" s="5" t="n">
        <v>55</v>
      </c>
      <c r="K15" s="5" t="n">
        <v>64.919</v>
      </c>
      <c r="L15" s="5" t="n">
        <v>5.1145</v>
      </c>
      <c r="M15" s="5" t="n">
        <v>1.36</v>
      </c>
      <c r="N15" s="5" t="n">
        <v>1252.075</v>
      </c>
      <c r="O15" s="5" t="n">
        <v>90.7386474609375</v>
      </c>
    </row>
    <row r="16">
      <c r="A16" s="3" t="n">
        <v>36951</v>
      </c>
      <c r="B16" s="4" t="inlineStr">
        <is>
          <t>2001m3</t>
        </is>
      </c>
      <c r="C16" s="5" t="n">
        <v>91.11620000000001</v>
      </c>
      <c r="D16" s="5" t="n">
        <v>12.179316466933</v>
      </c>
      <c r="E16" s="5" t="n">
        <v>23.43363636363636</v>
      </c>
      <c r="F16" s="5" t="n">
        <v>4.34</v>
      </c>
      <c r="G16" s="5" t="n">
        <v>1.12763559317888</v>
      </c>
      <c r="H16" s="5" t="n">
        <v>28.49681818181818</v>
      </c>
      <c r="I16" s="5" t="n">
        <v>137.3741569863686</v>
      </c>
      <c r="J16" s="5" t="n">
        <v>55</v>
      </c>
      <c r="K16" s="5" t="n">
        <v>65.488</v>
      </c>
      <c r="L16" s="5" t="n">
        <v>5.018571428571429</v>
      </c>
      <c r="M16" s="5" t="n">
        <v>1.32</v>
      </c>
      <c r="N16" s="5" t="n">
        <v>1291.504761904762</v>
      </c>
      <c r="O16" s="5" t="n">
        <v>84.36918640136719</v>
      </c>
    </row>
    <row r="17">
      <c r="A17" s="3" t="n">
        <v>36982</v>
      </c>
      <c r="B17" s="4" t="inlineStr">
        <is>
          <t>2001m4</t>
        </is>
      </c>
      <c r="C17" s="5" t="n">
        <v>90.7891</v>
      </c>
      <c r="D17" s="5" t="n">
        <v>12.2680869951176</v>
      </c>
      <c r="E17" s="5" t="n">
        <v>24.0925</v>
      </c>
      <c r="F17" s="5" t="n">
        <v>4.23</v>
      </c>
      <c r="G17" s="5" t="n">
        <v>0.9353486791481864</v>
      </c>
      <c r="H17" s="5" t="n">
        <v>28.134</v>
      </c>
      <c r="I17" s="5" t="n">
        <v>148.7580033744109</v>
      </c>
      <c r="J17" s="5" t="n">
        <v>56</v>
      </c>
      <c r="K17" s="5" t="n">
        <v>65.73999999999999</v>
      </c>
      <c r="L17" s="5" t="n">
        <v>5.0135</v>
      </c>
      <c r="M17" s="5" t="n">
        <v>1.32</v>
      </c>
      <c r="N17" s="5" t="n">
        <v>1325.355</v>
      </c>
      <c r="O17" s="5" t="n">
        <v>105.8385696411133</v>
      </c>
    </row>
    <row r="18">
      <c r="A18" s="3" t="n">
        <v>37012</v>
      </c>
      <c r="B18" s="4" t="inlineStr">
        <is>
          <t>2001m5</t>
        </is>
      </c>
      <c r="C18" s="5" t="n">
        <v>90.35550000000001</v>
      </c>
      <c r="D18" s="5" t="n">
        <v>12.3035952063915</v>
      </c>
      <c r="E18" s="5" t="n">
        <v>25.58</v>
      </c>
      <c r="F18" s="5" t="n">
        <v>4.26</v>
      </c>
      <c r="G18" s="5" t="n">
        <v>0.790765505</v>
      </c>
      <c r="H18" s="5" t="n">
        <v>22.94409090909091</v>
      </c>
      <c r="I18" s="5" t="n">
        <v>117.4362554934989</v>
      </c>
      <c r="J18" s="5" t="n">
        <v>56.8</v>
      </c>
      <c r="K18" s="5" t="n">
        <v>65.67700000000001</v>
      </c>
      <c r="L18" s="5" t="n">
        <v>5.009090909090909</v>
      </c>
      <c r="M18" s="5" t="n">
        <v>1.24</v>
      </c>
      <c r="N18" s="5" t="n">
        <v>1296.827272727273</v>
      </c>
      <c r="O18" s="5" t="n">
        <v>93.24161529541016</v>
      </c>
    </row>
    <row r="19">
      <c r="A19" s="3" t="n">
        <v>37043</v>
      </c>
      <c r="B19" s="4" t="inlineStr">
        <is>
          <t>2001m6</t>
        </is>
      </c>
      <c r="C19" s="5" t="n">
        <v>89.8784</v>
      </c>
      <c r="D19" s="5" t="n">
        <v>12.3923657345761</v>
      </c>
      <c r="E19" s="5" t="n">
        <v>25.61380952380952</v>
      </c>
      <c r="F19" s="5" t="n">
        <v>4.08</v>
      </c>
      <c r="G19" s="5" t="n">
        <v>1.034452049</v>
      </c>
      <c r="H19" s="5" t="n">
        <v>20.94047619047619</v>
      </c>
      <c r="I19" s="5" t="n">
        <v>93.46123235104056</v>
      </c>
      <c r="J19" s="5" t="n">
        <v>56.4</v>
      </c>
      <c r="K19" s="5" t="n">
        <v>65.866</v>
      </c>
      <c r="L19" s="5" t="n">
        <v>5.008999999999999</v>
      </c>
      <c r="M19" s="5" t="n">
        <v>1.2</v>
      </c>
      <c r="N19" s="5" t="n">
        <v>1294.715</v>
      </c>
      <c r="O19" s="5" t="n">
        <v>75.57197570800781</v>
      </c>
    </row>
    <row r="20">
      <c r="A20" s="3" t="n">
        <v>37073</v>
      </c>
      <c r="B20" s="4" t="inlineStr">
        <is>
          <t>2001m7</t>
        </is>
      </c>
      <c r="C20" s="5" t="n">
        <v>89.3028</v>
      </c>
      <c r="D20" s="5" t="n">
        <v>12.42787394585</v>
      </c>
      <c r="E20" s="5" t="n">
        <v>23.43</v>
      </c>
      <c r="F20" s="5" t="n">
        <v>4.04</v>
      </c>
      <c r="G20" s="5" t="n">
        <v>0.8001015516251395</v>
      </c>
      <c r="H20" s="5" t="n">
        <v>22.31619047619047</v>
      </c>
      <c r="I20" s="5" t="n">
        <v>120.2945914828586</v>
      </c>
      <c r="J20" s="5" t="n">
        <v>56.1</v>
      </c>
      <c r="K20" s="5" t="n">
        <v>65.992</v>
      </c>
      <c r="L20" s="5" t="n">
        <v>4.806190476190476</v>
      </c>
      <c r="M20" s="5" t="n">
        <v>1.25</v>
      </c>
      <c r="N20" s="5" t="n">
        <v>1302.647619047619</v>
      </c>
      <c r="O20" s="5" t="n">
        <v>113.5602569580078</v>
      </c>
    </row>
    <row r="21">
      <c r="A21" s="3" t="n">
        <v>37104</v>
      </c>
      <c r="B21" s="4" t="inlineStr">
        <is>
          <t>2001m8</t>
        </is>
      </c>
      <c r="C21" s="5" t="n">
        <v>89.2003</v>
      </c>
      <c r="D21" s="5" t="n">
        <v>12.5521526853085</v>
      </c>
      <c r="E21" s="5" t="n">
        <v>24.3204347826087</v>
      </c>
      <c r="F21" s="5" t="n">
        <v>3.76</v>
      </c>
      <c r="G21" s="5" t="n">
        <v>0.7815555912500325</v>
      </c>
      <c r="H21" s="5" t="n">
        <v>21.86173913043478</v>
      </c>
      <c r="I21" s="5" t="n">
        <v>95.39996953368582</v>
      </c>
      <c r="J21" s="5" t="n">
        <v>57.3</v>
      </c>
      <c r="K21" s="5" t="n">
        <v>66.245</v>
      </c>
      <c r="L21" s="5" t="n">
        <v>4.589090909090909</v>
      </c>
      <c r="M21" s="5" t="n">
        <v>1.359999999999999</v>
      </c>
      <c r="N21" s="5" t="n">
        <v>1284.877272727273</v>
      </c>
      <c r="O21" s="5" t="n">
        <v>159.7414703369141</v>
      </c>
    </row>
    <row r="22">
      <c r="A22" s="3" t="n">
        <v>37135</v>
      </c>
      <c r="B22" s="4" t="inlineStr">
        <is>
          <t>2001m9</t>
        </is>
      </c>
      <c r="C22" s="5" t="n">
        <v>88.74850000000001</v>
      </c>
      <c r="D22" s="5" t="n">
        <v>12.6941855304039</v>
      </c>
      <c r="E22" s="5" t="n">
        <v>23.9525</v>
      </c>
      <c r="F22" s="5" t="n">
        <v>3.12</v>
      </c>
      <c r="G22" s="5" t="n">
        <v>1.246423428978108</v>
      </c>
      <c r="H22" s="5" t="n">
        <v>35.06533333333334</v>
      </c>
      <c r="I22" s="5" t="n">
        <v>272.7644685794166</v>
      </c>
      <c r="J22" s="5" t="n">
        <v>57.6</v>
      </c>
      <c r="K22" s="5" t="n">
        <v>66.182</v>
      </c>
      <c r="L22" s="5" t="n">
        <v>4.3115</v>
      </c>
      <c r="M22" s="5" t="n">
        <v>1.430000000000001</v>
      </c>
      <c r="N22" s="5" t="n">
        <v>1295.28</v>
      </c>
      <c r="O22" s="5" t="n">
        <v>183.4622039794922</v>
      </c>
    </row>
    <row r="23">
      <c r="A23" s="3" t="n">
        <v>37165</v>
      </c>
      <c r="B23" s="4" t="inlineStr">
        <is>
          <t>2001m10</t>
        </is>
      </c>
      <c r="C23" s="5" t="n">
        <v>88.5052</v>
      </c>
      <c r="D23" s="5" t="n">
        <v>12.7829560585885</v>
      </c>
      <c r="E23" s="5" t="n">
        <v>19.54173913043478</v>
      </c>
      <c r="F23" s="5" t="n">
        <v>2.73</v>
      </c>
      <c r="G23" s="5" t="n">
        <v>1.062100406385772</v>
      </c>
      <c r="H23" s="5" t="n">
        <v>32.72130434782609</v>
      </c>
      <c r="I23" s="5" t="n">
        <v>247.2942497968661</v>
      </c>
      <c r="J23" s="5" t="n">
        <v>57.9</v>
      </c>
      <c r="K23" s="5" t="n">
        <v>66.182</v>
      </c>
      <c r="L23" s="5" t="n">
        <v>4.012</v>
      </c>
      <c r="M23" s="5" t="n">
        <v>1.569999999999999</v>
      </c>
      <c r="N23" s="5" t="n">
        <v>1301.94</v>
      </c>
      <c r="O23" s="5" t="n">
        <v>168.9344329833984</v>
      </c>
    </row>
    <row r="24">
      <c r="A24" s="3" t="n">
        <v>37196</v>
      </c>
      <c r="B24" s="4" t="inlineStr">
        <is>
          <t>2001m11</t>
        </is>
      </c>
      <c r="C24" s="5" t="n">
        <v>87.97</v>
      </c>
      <c r="D24" s="5" t="n">
        <v>12.8539724811363</v>
      </c>
      <c r="E24" s="5" t="n">
        <v>17.53227272727273</v>
      </c>
      <c r="F24" s="5" t="n">
        <v>2.78</v>
      </c>
      <c r="G24" s="5" t="n">
        <v>-0.099373565</v>
      </c>
      <c r="H24" s="5" t="n">
        <v>26.63095238095238</v>
      </c>
      <c r="I24" s="5" t="n">
        <v>172.4888281331059</v>
      </c>
      <c r="J24" s="5" t="n">
        <v>58.4</v>
      </c>
      <c r="K24" s="5" t="n">
        <v>65.804</v>
      </c>
      <c r="L24" s="5" t="n">
        <v>4.015</v>
      </c>
      <c r="M24" s="5" t="n">
        <v>1.45</v>
      </c>
      <c r="N24" s="5" t="n">
        <v>1282.236363636364</v>
      </c>
      <c r="O24" s="5" t="n">
        <v>122.699462890625</v>
      </c>
    </row>
    <row r="25">
      <c r="A25" s="3" t="n">
        <v>37226</v>
      </c>
      <c r="B25" s="4" t="inlineStr">
        <is>
          <t>2001m12</t>
        </is>
      </c>
      <c r="C25" s="5" t="n">
        <v>87.9324</v>
      </c>
      <c r="D25" s="5" t="n">
        <v>12.9960053262317</v>
      </c>
      <c r="E25" s="5" t="n">
        <v>17.642</v>
      </c>
      <c r="F25" s="5" t="n">
        <v>3.11</v>
      </c>
      <c r="G25" s="5" t="n">
        <v>0.416135451481832</v>
      </c>
      <c r="H25" s="5" t="n">
        <v>23.72</v>
      </c>
      <c r="I25" s="5" t="n">
        <v>149.7089302168125</v>
      </c>
      <c r="J25" s="5" t="n">
        <v>57.2</v>
      </c>
      <c r="K25" s="5" t="n">
        <v>65.93000000000001</v>
      </c>
      <c r="L25" s="5" t="n">
        <v>3.992</v>
      </c>
      <c r="M25" s="5" t="n">
        <v>1.180000000000001</v>
      </c>
      <c r="N25" s="5" t="n">
        <v>1291.88</v>
      </c>
      <c r="O25" s="5" t="n">
        <v>111.5053329467773</v>
      </c>
    </row>
    <row r="26">
      <c r="A26" s="3" t="n">
        <v>37257</v>
      </c>
      <c r="B26" s="4" t="inlineStr">
        <is>
          <t>2002m1</t>
        </is>
      </c>
      <c r="C26" s="5" t="n">
        <v>88.5176</v>
      </c>
      <c r="D26" s="5" t="n">
        <v>13.155792276964</v>
      </c>
      <c r="E26" s="5" t="n">
        <v>18.29181818181818</v>
      </c>
      <c r="F26" s="5" t="n">
        <v>3.03</v>
      </c>
      <c r="G26" s="5" t="n">
        <v>0.5798463194208336</v>
      </c>
      <c r="H26" s="5" t="n">
        <v>22.25285714285714</v>
      </c>
      <c r="I26" s="5" t="n">
        <v>148.4497314528814</v>
      </c>
      <c r="J26" s="5" t="n">
        <v>59.4</v>
      </c>
      <c r="K26" s="5" t="n">
        <v>66.30800000000001</v>
      </c>
      <c r="L26" s="5" t="n">
        <v>3.981818181818181</v>
      </c>
      <c r="M26" s="5" t="n">
        <v>0.9900000000000002</v>
      </c>
      <c r="N26" s="5" t="n">
        <v>1317.009090909091</v>
      </c>
      <c r="O26" s="5" t="n">
        <v>136.2150115966797</v>
      </c>
    </row>
    <row r="27">
      <c r="A27" s="3" t="n">
        <v>37288</v>
      </c>
      <c r="B27" s="4" t="inlineStr">
        <is>
          <t>2002m2</t>
        </is>
      </c>
      <c r="C27" s="5" t="n">
        <v>88.5278</v>
      </c>
      <c r="D27" s="5" t="n">
        <v>13.2800710164225</v>
      </c>
      <c r="E27" s="5" t="n">
        <v>18.91105263157895</v>
      </c>
      <c r="F27" s="5" t="n">
        <v>3.02</v>
      </c>
      <c r="G27" s="5" t="n">
        <v>0.8003530203982971</v>
      </c>
      <c r="H27" s="5" t="n">
        <v>22.87578947368421</v>
      </c>
      <c r="I27" s="5" t="n">
        <v>104.609425722256</v>
      </c>
      <c r="J27" s="5" t="n">
        <v>59.9</v>
      </c>
      <c r="K27" s="5" t="n">
        <v>66.624</v>
      </c>
      <c r="L27" s="5" t="n">
        <v>4.008235294117647</v>
      </c>
      <c r="M27" s="5" t="n">
        <v>0.9699999999999998</v>
      </c>
      <c r="N27" s="5" t="n">
        <v>1319.85294117647</v>
      </c>
      <c r="O27" s="5" t="n">
        <v>59.01702499389648</v>
      </c>
    </row>
    <row r="28">
      <c r="A28" s="3" t="n">
        <v>37316</v>
      </c>
      <c r="B28" s="4" t="inlineStr">
        <is>
          <t>2002m3</t>
        </is>
      </c>
      <c r="C28" s="5" t="n">
        <v>89.1686</v>
      </c>
      <c r="D28" s="5" t="n">
        <v>13.4398579671549</v>
      </c>
      <c r="E28" s="5" t="n">
        <v>22.8545</v>
      </c>
      <c r="F28" s="5" t="n">
        <v>3.56</v>
      </c>
      <c r="G28" s="5" t="n">
        <v>0.292811965625102</v>
      </c>
      <c r="H28" s="5" t="n">
        <v>18.985</v>
      </c>
      <c r="I28" s="5" t="n">
        <v>97.51299569010776</v>
      </c>
      <c r="J28" s="5" t="n">
        <v>60.6</v>
      </c>
      <c r="K28" s="5" t="n">
        <v>67.003</v>
      </c>
      <c r="L28" s="5" t="n">
        <v>4.0105</v>
      </c>
      <c r="M28" s="5" t="n">
        <v>0.75</v>
      </c>
      <c r="N28" s="5" t="n">
        <v>1322.715</v>
      </c>
      <c r="O28" s="5" t="n">
        <v>62.52892303466797</v>
      </c>
    </row>
    <row r="29">
      <c r="A29" s="3" t="n">
        <v>37347</v>
      </c>
      <c r="B29" s="4" t="inlineStr">
        <is>
          <t>2002m4</t>
        </is>
      </c>
      <c r="C29" s="5" t="n">
        <v>89.604</v>
      </c>
      <c r="D29" s="5" t="n">
        <v>13.670661340435</v>
      </c>
      <c r="E29" s="5" t="n">
        <v>24.40545454545454</v>
      </c>
      <c r="F29" s="5" t="n">
        <v>3.42</v>
      </c>
      <c r="G29" s="5" t="n">
        <v>0.4318833352825005</v>
      </c>
      <c r="H29" s="5" t="n">
        <v>19.90045454545455</v>
      </c>
      <c r="I29" s="5" t="n">
        <v>106.1646487516298</v>
      </c>
      <c r="J29" s="5" t="n">
        <v>61.3</v>
      </c>
      <c r="K29" s="5" t="n">
        <v>67.38200000000001</v>
      </c>
      <c r="L29" s="5" t="n">
        <v>4.016190476190476</v>
      </c>
      <c r="M29" s="5" t="n">
        <v>0.7300000000000004</v>
      </c>
      <c r="N29" s="5" t="n">
        <v>1317.5</v>
      </c>
      <c r="O29" s="5" t="n">
        <v>75.5360107421875</v>
      </c>
    </row>
    <row r="30">
      <c r="A30" s="3" t="n">
        <v>37377</v>
      </c>
      <c r="B30" s="4" t="inlineStr">
        <is>
          <t>2002m5</t>
        </is>
      </c>
      <c r="C30" s="5" t="n">
        <v>89.964</v>
      </c>
      <c r="D30" s="5" t="n">
        <v>13.901464713715</v>
      </c>
      <c r="E30" s="5" t="n">
        <v>24.58521739130435</v>
      </c>
      <c r="F30" s="5" t="n">
        <v>3.26</v>
      </c>
      <c r="G30" s="5" t="n">
        <v>0.5317247224561652</v>
      </c>
      <c r="H30" s="5" t="n">
        <v>20.08772727272727</v>
      </c>
      <c r="I30" s="5" t="n">
        <v>98.64004001359024</v>
      </c>
      <c r="J30" s="5" t="n">
        <v>61.2</v>
      </c>
      <c r="K30" s="5" t="n">
        <v>67.634</v>
      </c>
      <c r="L30" s="5" t="n">
        <v>4.243636363636363</v>
      </c>
      <c r="M30" s="5" t="n">
        <v>0.7700000000000005</v>
      </c>
      <c r="N30" s="5" t="n">
        <v>1261.463636363636</v>
      </c>
      <c r="O30" s="5" t="n">
        <v>104.50341796875</v>
      </c>
    </row>
    <row r="31">
      <c r="A31" s="3" t="n">
        <v>37408</v>
      </c>
      <c r="B31" s="4" t="inlineStr">
        <is>
          <t>2002m6</t>
        </is>
      </c>
      <c r="C31" s="5" t="n">
        <v>90.70610000000001</v>
      </c>
      <c r="D31" s="5" t="n">
        <v>13.8659565024412</v>
      </c>
      <c r="E31" s="5" t="n">
        <v>23.82777777777778</v>
      </c>
      <c r="F31" s="5" t="n">
        <v>2.99</v>
      </c>
      <c r="G31" s="5" t="n">
        <v>0.9842794549394132</v>
      </c>
      <c r="H31" s="5" t="n">
        <v>25.271</v>
      </c>
      <c r="I31" s="5" t="n">
        <v>111.1499479916899</v>
      </c>
      <c r="J31" s="5" t="n">
        <v>61.1</v>
      </c>
      <c r="K31" s="5" t="n">
        <v>67.571</v>
      </c>
      <c r="L31" s="5" t="n">
        <v>4.288888888888889</v>
      </c>
      <c r="M31" s="5" t="n">
        <v>0.8300000000000001</v>
      </c>
      <c r="N31" s="5" t="n">
        <v>1222.083333333333</v>
      </c>
      <c r="O31" s="5" t="n">
        <v>79.95369720458984</v>
      </c>
    </row>
    <row r="32">
      <c r="A32" s="3" t="n">
        <v>37438</v>
      </c>
      <c r="B32" s="4" t="inlineStr">
        <is>
          <t>2002m7</t>
        </is>
      </c>
      <c r="C32" s="5" t="n">
        <v>90.6769</v>
      </c>
      <c r="D32" s="5" t="n">
        <v>14.0612516644474</v>
      </c>
      <c r="E32" s="5" t="n">
        <v>24.57260869565217</v>
      </c>
      <c r="F32" s="5" t="n">
        <v>2.56</v>
      </c>
      <c r="G32" s="5" t="n">
        <v>1.611569032990977</v>
      </c>
      <c r="H32" s="5" t="n">
        <v>34.04954545454546</v>
      </c>
      <c r="I32" s="5" t="n">
        <v>139.6611168980289</v>
      </c>
      <c r="J32" s="5" t="n">
        <v>62.4</v>
      </c>
      <c r="K32" s="5" t="n">
        <v>67.38200000000001</v>
      </c>
      <c r="L32" s="5" t="n">
        <v>4.276190476190476</v>
      </c>
      <c r="M32" s="5" t="n">
        <v>0.8899999999999997</v>
      </c>
      <c r="N32" s="5" t="n">
        <v>1184.966666666667</v>
      </c>
      <c r="O32" s="5" t="n">
        <v>70.11953735351562</v>
      </c>
    </row>
    <row r="33">
      <c r="A33" s="3" t="n">
        <v>37469</v>
      </c>
      <c r="B33" s="4" t="inlineStr">
        <is>
          <t>2002m8</t>
        </is>
      </c>
      <c r="C33" s="5" t="n">
        <v>90.5762</v>
      </c>
      <c r="D33" s="5" t="n">
        <v>14.2032845095428</v>
      </c>
      <c r="E33" s="5" t="n">
        <v>25.32409090909091</v>
      </c>
      <c r="F33" s="5" t="n">
        <v>2.13</v>
      </c>
      <c r="G33" s="5" t="n">
        <v>1.509122171764909</v>
      </c>
      <c r="H33" s="5" t="n">
        <v>33.74272727272727</v>
      </c>
      <c r="I33" s="5" t="n">
        <v>136.1190661974469</v>
      </c>
      <c r="J33" s="5" t="n">
        <v>61.5</v>
      </c>
      <c r="K33" s="5" t="n">
        <v>67.824</v>
      </c>
      <c r="L33" s="5" t="n">
        <v>4.284285714285714</v>
      </c>
      <c r="M33" s="5" t="n">
        <v>0.8600000000000003</v>
      </c>
      <c r="N33" s="5" t="n">
        <v>1197.728571428571</v>
      </c>
      <c r="O33" s="5" t="n">
        <v>88.36773681640625</v>
      </c>
    </row>
    <row r="34">
      <c r="A34" s="3" t="n">
        <v>37500</v>
      </c>
      <c r="B34" s="4" t="inlineStr">
        <is>
          <t>2002m9</t>
        </is>
      </c>
      <c r="C34" s="5" t="n">
        <v>90.65309999999999</v>
      </c>
      <c r="D34" s="5" t="n">
        <v>14.4873501997337</v>
      </c>
      <c r="E34" s="5" t="n">
        <v>26.83</v>
      </c>
      <c r="F34" s="5" t="n">
        <v>2</v>
      </c>
      <c r="G34" s="5" t="n">
        <v>1.693623019319695</v>
      </c>
      <c r="H34" s="5" t="n">
        <v>37.6475</v>
      </c>
      <c r="I34" s="5" t="n">
        <v>149.8482072027525</v>
      </c>
      <c r="J34" s="5" t="n">
        <v>62</v>
      </c>
      <c r="K34" s="5" t="n">
        <v>68.20399999999999</v>
      </c>
      <c r="L34" s="5" t="n">
        <v>4.2975</v>
      </c>
      <c r="M34" s="5" t="n">
        <v>0.6899999999999995</v>
      </c>
      <c r="N34" s="5" t="n">
        <v>1210.26</v>
      </c>
      <c r="O34" s="5" t="n">
        <v>136.9374084472656</v>
      </c>
    </row>
    <row r="35">
      <c r="A35" s="3" t="n">
        <v>37530</v>
      </c>
      <c r="B35" s="4" t="inlineStr">
        <is>
          <t>2002m10</t>
        </is>
      </c>
      <c r="C35" s="5" t="n">
        <v>90.46429999999999</v>
      </c>
      <c r="D35" s="5" t="n">
        <v>14.647137150466</v>
      </c>
      <c r="E35" s="5" t="n">
        <v>26.18086956521739</v>
      </c>
      <c r="F35" s="5" t="n">
        <v>1.91</v>
      </c>
      <c r="G35" s="5" t="n">
        <v>1.480189059975755</v>
      </c>
      <c r="H35" s="5" t="n">
        <v>35.24304347826087</v>
      </c>
      <c r="I35" s="5" t="n">
        <v>128.9736134106315</v>
      </c>
      <c r="J35" s="5" t="n">
        <v>62.2</v>
      </c>
      <c r="K35" s="5" t="n">
        <v>68.01300000000001</v>
      </c>
      <c r="L35" s="5" t="n">
        <v>4.293181818181818</v>
      </c>
      <c r="M35" s="5" t="n">
        <v>0.6200000000000001</v>
      </c>
      <c r="N35" s="5" t="n">
        <v>1240.75</v>
      </c>
      <c r="O35" s="5" t="n">
        <v>195.0533905029297</v>
      </c>
    </row>
    <row r="36">
      <c r="A36" s="3" t="n">
        <v>37561</v>
      </c>
      <c r="B36" s="4" t="inlineStr">
        <is>
          <t>2002m11</t>
        </is>
      </c>
      <c r="C36" s="5" t="n">
        <v>90.97110000000001</v>
      </c>
      <c r="D36" s="5" t="n">
        <v>14.8069241011984</v>
      </c>
      <c r="E36" s="5" t="n">
        <v>23.15952380952381</v>
      </c>
      <c r="F36" s="5" t="n">
        <v>1.92</v>
      </c>
      <c r="G36" s="5" t="n">
        <v>1.067007754</v>
      </c>
      <c r="H36" s="5" t="n">
        <v>28.175</v>
      </c>
      <c r="I36" s="5" t="n">
        <v>162.2214061864004</v>
      </c>
      <c r="J36" s="5" t="n">
        <v>62.4</v>
      </c>
      <c r="K36" s="5" t="n">
        <v>68.077</v>
      </c>
      <c r="L36" s="5" t="n">
        <v>4.288571428571428</v>
      </c>
      <c r="M36" s="5" t="n">
        <v>0.6100000000000003</v>
      </c>
      <c r="N36" s="5" t="n">
        <v>1211.366666666667</v>
      </c>
      <c r="O36" s="5" t="n">
        <v>142.3193359375</v>
      </c>
    </row>
    <row r="37">
      <c r="A37" s="3" t="n">
        <v>37591</v>
      </c>
      <c r="B37" s="4" t="inlineStr">
        <is>
          <t>2002m12</t>
        </is>
      </c>
      <c r="C37" s="5" t="n">
        <v>90.4652</v>
      </c>
      <c r="D37" s="5" t="n">
        <v>15.0199733688415</v>
      </c>
      <c r="E37" s="5" t="n">
        <v>25.70666666666667</v>
      </c>
      <c r="F37" s="5" t="n">
        <v>1.84</v>
      </c>
      <c r="G37" s="5" t="n">
        <v>0.9324385664899096</v>
      </c>
      <c r="H37" s="5" t="n">
        <v>28.21047619047619</v>
      </c>
      <c r="I37" s="5" t="n">
        <v>160.4113150728941</v>
      </c>
      <c r="J37" s="5" t="n">
        <v>62.1</v>
      </c>
      <c r="K37" s="5" t="n">
        <v>68.39100000000001</v>
      </c>
      <c r="L37" s="5" t="n">
        <v>4.3065</v>
      </c>
      <c r="M37" s="5" t="n">
        <v>0.5999999999999996</v>
      </c>
      <c r="N37" s="5" t="n">
        <v>1207.41</v>
      </c>
      <c r="O37" s="5" t="n">
        <v>162.2558441162109</v>
      </c>
    </row>
    <row r="38">
      <c r="A38" s="3" t="n">
        <v>37622</v>
      </c>
      <c r="B38" s="4" t="inlineStr">
        <is>
          <t>2003m1</t>
        </is>
      </c>
      <c r="C38" s="5" t="n">
        <v>91.23609999999999</v>
      </c>
      <c r="D38" s="5" t="n">
        <v>15.392809587217</v>
      </c>
      <c r="E38" s="5" t="n">
        <v>28.065</v>
      </c>
      <c r="F38" s="5" t="n">
        <v>1.74</v>
      </c>
      <c r="G38" s="5" t="n">
        <v>0.884663248</v>
      </c>
      <c r="H38" s="5" t="n">
        <v>27.42428571428571</v>
      </c>
      <c r="I38" s="5" t="n">
        <v>185.5916265213857</v>
      </c>
      <c r="J38" s="5" t="n">
        <v>62.3</v>
      </c>
      <c r="K38" s="5" t="n">
        <v>68.83499999999999</v>
      </c>
      <c r="L38" s="5" t="n">
        <v>4.278571428571428</v>
      </c>
      <c r="M38" s="5" t="n">
        <v>0.5200000000000005</v>
      </c>
      <c r="N38" s="5" t="n">
        <v>1178.37619047619</v>
      </c>
      <c r="O38" s="5" t="n">
        <v>224.4033508300781</v>
      </c>
    </row>
    <row r="39">
      <c r="A39" s="3" t="n">
        <v>37653</v>
      </c>
      <c r="B39" s="4" t="inlineStr">
        <is>
          <t>2003m2</t>
        </is>
      </c>
      <c r="C39" s="5" t="n">
        <v>91.3445</v>
      </c>
      <c r="D39" s="5" t="n">
        <v>15.5525965379494</v>
      </c>
      <c r="E39" s="5" t="n">
        <v>30.199</v>
      </c>
      <c r="F39" s="5" t="n">
        <v>1.63</v>
      </c>
      <c r="G39" s="5" t="n">
        <v>0.682389335</v>
      </c>
      <c r="H39" s="5" t="n">
        <v>32.21842105263158</v>
      </c>
      <c r="I39" s="5" t="n">
        <v>161.7597671599464</v>
      </c>
      <c r="J39" s="5" t="n">
        <v>61.7</v>
      </c>
      <c r="K39" s="5" t="n">
        <v>69.21299999999999</v>
      </c>
      <c r="L39" s="5" t="n">
        <v>4.297</v>
      </c>
      <c r="M39" s="5" t="n">
        <v>0.5199999999999996</v>
      </c>
      <c r="N39" s="5" t="n">
        <v>1191.945</v>
      </c>
      <c r="O39" s="5" t="n">
        <v>298.8014831542969</v>
      </c>
    </row>
    <row r="40">
      <c r="A40" s="3" t="n">
        <v>37681</v>
      </c>
      <c r="B40" s="4" t="inlineStr">
        <is>
          <t>2003m3</t>
        </is>
      </c>
      <c r="C40" s="5" t="n">
        <v>91.1044</v>
      </c>
      <c r="D40" s="5" t="n">
        <v>15.6058588548602</v>
      </c>
      <c r="E40" s="5" t="n">
        <v>27.42285714285714</v>
      </c>
      <c r="F40" s="5" t="n">
        <v>1.57</v>
      </c>
      <c r="G40" s="5" t="n">
        <v>0.1619321384044658</v>
      </c>
      <c r="H40" s="5" t="n">
        <v>30.63428571428572</v>
      </c>
      <c r="I40" s="5" t="n">
        <v>224.6472034516017</v>
      </c>
      <c r="J40" s="5" t="n">
        <v>62.3</v>
      </c>
      <c r="K40" s="5" t="n">
        <v>70.03400000000001</v>
      </c>
      <c r="L40" s="5" t="n">
        <v>4.217142857142857</v>
      </c>
      <c r="M40" s="5" t="n">
        <v>0.6600000000000001</v>
      </c>
      <c r="N40" s="5" t="n">
        <v>1236.657142857143</v>
      </c>
      <c r="O40" s="5" t="n">
        <v>319.0037841796875</v>
      </c>
    </row>
    <row r="41">
      <c r="A41" s="3" t="n">
        <v>37712</v>
      </c>
      <c r="B41" s="4" t="inlineStr">
        <is>
          <t>2003m4</t>
        </is>
      </c>
      <c r="C41" s="5" t="n">
        <v>90.5617</v>
      </c>
      <c r="D41" s="5" t="n">
        <v>15.659121171771</v>
      </c>
      <c r="E41" s="5" t="n">
        <v>23.43047619047619</v>
      </c>
      <c r="F41" s="5" t="n">
        <v>1.62</v>
      </c>
      <c r="G41" s="5" t="n">
        <v>0.081787837</v>
      </c>
      <c r="H41" s="5" t="n">
        <v>23.99190476190476</v>
      </c>
      <c r="I41" s="5" t="n">
        <v>176.5798668938403</v>
      </c>
      <c r="J41" s="5" t="n">
        <v>62.4</v>
      </c>
      <c r="K41" s="5" t="n">
        <v>69.908</v>
      </c>
      <c r="L41" s="5" t="n">
        <v>4.245</v>
      </c>
      <c r="M41" s="5" t="n">
        <v>0.79</v>
      </c>
      <c r="N41" s="5" t="n">
        <v>1230.536363636364</v>
      </c>
      <c r="O41" s="5" t="n">
        <v>208.0635528564453</v>
      </c>
    </row>
    <row r="42">
      <c r="A42" s="3" t="n">
        <v>37742</v>
      </c>
      <c r="B42" s="4" t="inlineStr">
        <is>
          <t>2003m5</t>
        </is>
      </c>
      <c r="C42" s="5" t="n">
        <v>90.53700000000001</v>
      </c>
      <c r="D42" s="5" t="n">
        <v>15.8366622281403</v>
      </c>
      <c r="E42" s="5" t="n">
        <v>24.25285714285714</v>
      </c>
      <c r="F42" s="5" t="n">
        <v>1.42</v>
      </c>
      <c r="G42" s="5" t="n">
        <v>-0.475401138</v>
      </c>
      <c r="H42" s="5" t="n">
        <v>20.23952380952381</v>
      </c>
      <c r="I42" s="5" t="n">
        <v>122.3098304707012</v>
      </c>
      <c r="J42" s="5" t="n">
        <v>62.4</v>
      </c>
      <c r="K42" s="5" t="n">
        <v>69.782</v>
      </c>
      <c r="L42" s="5" t="n">
        <v>4.074736842105263</v>
      </c>
      <c r="M42" s="5" t="n">
        <v>0.9900000000000002</v>
      </c>
      <c r="N42" s="5" t="n">
        <v>1199.663157894737</v>
      </c>
      <c r="O42" s="5" t="n">
        <v>141.1686248779297</v>
      </c>
    </row>
    <row r="43">
      <c r="A43" s="3" t="n">
        <v>37773</v>
      </c>
      <c r="B43" s="4" t="inlineStr">
        <is>
          <t>2003m6</t>
        </is>
      </c>
      <c r="C43" s="5" t="n">
        <v>90.6527</v>
      </c>
      <c r="D43" s="5" t="n">
        <v>16.1207279183311</v>
      </c>
      <c r="E43" s="5" t="n">
        <v>25.47190476190476</v>
      </c>
      <c r="F43" s="5" t="n">
        <v>1.23</v>
      </c>
      <c r="G43" s="5" t="n">
        <v>-0.362604645</v>
      </c>
      <c r="H43" s="5" t="n">
        <v>20.36238095238095</v>
      </c>
      <c r="I43" s="5" t="n">
        <v>110.6955418572809</v>
      </c>
      <c r="J43" s="5" t="n">
        <v>63.3</v>
      </c>
      <c r="K43" s="5" t="n">
        <v>69.592</v>
      </c>
      <c r="L43" s="5" t="n">
        <v>4.008</v>
      </c>
      <c r="M43" s="5" t="n">
        <v>1.21</v>
      </c>
      <c r="N43" s="5" t="n">
        <v>1193.445</v>
      </c>
      <c r="O43" s="5" t="n">
        <v>155.3765258789062</v>
      </c>
    </row>
    <row r="44">
      <c r="A44" s="3" t="n">
        <v>37803</v>
      </c>
      <c r="B44" s="4" t="inlineStr">
        <is>
          <t>2003m7</t>
        </is>
      </c>
      <c r="C44" s="5" t="n">
        <v>91.1185</v>
      </c>
      <c r="D44" s="5" t="n">
        <v>16.4403018197958</v>
      </c>
      <c r="E44" s="5" t="n">
        <v>26.62695652173913</v>
      </c>
      <c r="F44" s="5" t="n">
        <v>1.47</v>
      </c>
      <c r="G44" s="5" t="n">
        <v>-1.079924082</v>
      </c>
      <c r="H44" s="5" t="n">
        <v>19.16136363636364</v>
      </c>
      <c r="I44" s="5" t="n">
        <v>103.7482471397236</v>
      </c>
      <c r="J44" s="5" t="n">
        <v>62.8</v>
      </c>
      <c r="K44" s="5" t="n">
        <v>69.53</v>
      </c>
      <c r="L44" s="5" t="n">
        <v>3.838636363636364</v>
      </c>
      <c r="M44" s="5" t="n">
        <v>1.28</v>
      </c>
      <c r="N44" s="5" t="n">
        <v>1180.436363636363</v>
      </c>
      <c r="O44" s="5" t="n">
        <v>109.2784881591797</v>
      </c>
    </row>
    <row r="45">
      <c r="A45" s="3" t="n">
        <v>37834</v>
      </c>
      <c r="B45" s="4" t="inlineStr">
        <is>
          <t>2003m8</t>
        </is>
      </c>
      <c r="C45" s="5" t="n">
        <v>90.91970000000001</v>
      </c>
      <c r="D45" s="5" t="n">
        <v>16.6888592987128</v>
      </c>
      <c r="E45" s="5" t="n">
        <v>27.61714285714286</v>
      </c>
      <c r="F45" s="5" t="n">
        <v>1.86</v>
      </c>
      <c r="G45" s="5" t="n">
        <v>-0.188766161</v>
      </c>
      <c r="H45" s="5" t="n">
        <v>19.27428571428571</v>
      </c>
      <c r="I45" s="5" t="n">
        <v>91.71417654404974</v>
      </c>
      <c r="J45" s="5" t="n">
        <v>63.6</v>
      </c>
      <c r="K45" s="5" t="n">
        <v>69.845</v>
      </c>
      <c r="L45" s="5" t="n">
        <v>3.7455</v>
      </c>
      <c r="M45" s="5" t="n">
        <v>1.25</v>
      </c>
      <c r="N45" s="5" t="n">
        <v>1178.4</v>
      </c>
      <c r="O45" s="5" t="n">
        <v>94.96537780761719</v>
      </c>
    </row>
    <row r="46">
      <c r="A46" s="3" t="n">
        <v>37865</v>
      </c>
      <c r="B46" s="4" t="inlineStr">
        <is>
          <t>2003m9</t>
        </is>
      </c>
      <c r="C46" s="5" t="n">
        <v>91.5059</v>
      </c>
      <c r="D46" s="5" t="n">
        <v>16.884154460719</v>
      </c>
      <c r="E46" s="5" t="n">
        <v>25.265</v>
      </c>
      <c r="F46" s="5" t="n">
        <v>1.71</v>
      </c>
      <c r="G46" s="5" t="n">
        <v>-0.539352917</v>
      </c>
      <c r="H46" s="5" t="n">
        <v>19.53238095238095</v>
      </c>
      <c r="I46" s="5" t="n">
        <v>109.5539600244485</v>
      </c>
      <c r="J46" s="5" t="n">
        <v>63.6</v>
      </c>
      <c r="K46" s="5" t="n">
        <v>70.477</v>
      </c>
      <c r="L46" s="5" t="n">
        <v>3.731052631578947</v>
      </c>
      <c r="M46" s="5" t="n">
        <v>0.9900000000000002</v>
      </c>
      <c r="N46" s="5" t="n">
        <v>1164.126315789474</v>
      </c>
      <c r="O46" s="5" t="n">
        <v>77.55467987060547</v>
      </c>
    </row>
    <row r="47">
      <c r="A47" s="3" t="n">
        <v>37895</v>
      </c>
      <c r="B47" s="4" t="inlineStr">
        <is>
          <t>2003m10</t>
        </is>
      </c>
      <c r="C47" s="5" t="n">
        <v>91.6186</v>
      </c>
      <c r="D47" s="5" t="n">
        <v>17.2037283621838</v>
      </c>
      <c r="E47" s="5" t="n">
        <v>27.13130434782608</v>
      </c>
      <c r="F47" s="5" t="n">
        <v>1.75</v>
      </c>
      <c r="G47" s="5" t="n">
        <v>-0.514538643</v>
      </c>
      <c r="H47" s="5" t="n">
        <v>18.02347826086957</v>
      </c>
      <c r="I47" s="5" t="n">
        <v>78.58598676467068</v>
      </c>
      <c r="J47" s="5" t="n">
        <v>64.2</v>
      </c>
      <c r="K47" s="5" t="n">
        <v>70.539</v>
      </c>
      <c r="L47" s="5" t="n">
        <v>3.749545454545455</v>
      </c>
      <c r="M47" s="5" t="n">
        <v>0.8999999999999995</v>
      </c>
      <c r="N47" s="5" t="n">
        <v>1167.868181818182</v>
      </c>
      <c r="O47" s="5" t="n">
        <v>153.1712036132812</v>
      </c>
    </row>
    <row r="48">
      <c r="A48" s="3" t="n">
        <v>37926</v>
      </c>
      <c r="B48" s="4" t="inlineStr">
        <is>
          <t>2003m11</t>
        </is>
      </c>
      <c r="C48" s="5" t="n">
        <v>92.2329</v>
      </c>
      <c r="D48" s="5" t="n">
        <v>17.5233022636485</v>
      </c>
      <c r="E48" s="5" t="n">
        <v>27.504</v>
      </c>
      <c r="F48" s="5" t="n">
        <v>1.93</v>
      </c>
      <c r="G48" s="5" t="n">
        <v>-0.54169105</v>
      </c>
      <c r="H48" s="5" t="n">
        <v>17.40105263157895</v>
      </c>
      <c r="I48" s="5" t="n">
        <v>78.69609964329601</v>
      </c>
      <c r="J48" s="5" t="n">
        <v>64.2</v>
      </c>
      <c r="K48" s="5" t="n">
        <v>70.413</v>
      </c>
      <c r="L48" s="5" t="n">
        <v>3.778</v>
      </c>
      <c r="M48" s="5" t="n">
        <v>0.7600000000000007</v>
      </c>
      <c r="N48" s="5" t="n">
        <v>1185.985</v>
      </c>
      <c r="O48" s="5" t="n">
        <v>111.3070831298828</v>
      </c>
    </row>
    <row r="49">
      <c r="A49" s="3" t="n">
        <v>37956</v>
      </c>
      <c r="B49" s="4" t="inlineStr">
        <is>
          <t>2003m12</t>
        </is>
      </c>
      <c r="C49" s="5" t="n">
        <v>92.2602</v>
      </c>
      <c r="D49" s="5" t="n">
        <v>17.7541056369285</v>
      </c>
      <c r="E49" s="5" t="n">
        <v>27.85761904761905</v>
      </c>
      <c r="F49" s="5" t="n">
        <v>1.91</v>
      </c>
      <c r="G49" s="5" t="n">
        <v>-0.504837504</v>
      </c>
      <c r="H49" s="5" t="n">
        <v>16.82636363636364</v>
      </c>
      <c r="I49" s="5" t="n">
        <v>90.34358991197523</v>
      </c>
      <c r="J49" s="5" t="n">
        <v>64.2</v>
      </c>
      <c r="K49" s="5" t="n">
        <v>70.73</v>
      </c>
      <c r="L49" s="5" t="n">
        <v>3.775</v>
      </c>
      <c r="M49" s="5" t="n">
        <v>0.7400000000000002</v>
      </c>
      <c r="N49" s="5" t="n">
        <v>1191.9</v>
      </c>
      <c r="O49" s="5" t="n">
        <v>96.78128051757812</v>
      </c>
    </row>
    <row r="50">
      <c r="A50" s="3" t="n">
        <v>37987</v>
      </c>
      <c r="B50" s="4" t="inlineStr">
        <is>
          <t>2004m1</t>
        </is>
      </c>
      <c r="C50" s="5" t="n">
        <v>92.4006</v>
      </c>
      <c r="D50" s="5" t="n">
        <v>17.9316466932978</v>
      </c>
      <c r="E50" s="5" t="n">
        <v>28.68476190476191</v>
      </c>
      <c r="F50" s="5" t="n">
        <v>1.76</v>
      </c>
      <c r="G50" s="5" t="n">
        <v>-0.703435023</v>
      </c>
      <c r="H50" s="5" t="n">
        <v>16.101</v>
      </c>
      <c r="I50" s="5" t="n">
        <v>88.27759572857266</v>
      </c>
      <c r="J50" s="5" t="n">
        <v>64.90000000000001</v>
      </c>
      <c r="K50" s="5" t="n">
        <v>71.172</v>
      </c>
      <c r="L50" s="5" t="n">
        <v>3.777777777777778</v>
      </c>
      <c r="M50" s="5" t="n">
        <v>0.79</v>
      </c>
      <c r="N50" s="5" t="n">
        <v>1182.233333333333</v>
      </c>
      <c r="O50" s="5" t="n">
        <v>145.821533203125</v>
      </c>
    </row>
    <row r="51">
      <c r="A51" s="3" t="n">
        <v>38018</v>
      </c>
      <c r="B51" s="4" t="inlineStr">
        <is>
          <t>2004m2</t>
        </is>
      </c>
      <c r="C51" s="5" t="n">
        <v>92.958</v>
      </c>
      <c r="D51" s="5" t="n">
        <v>18.1091877496671</v>
      </c>
      <c r="E51" s="5" t="n">
        <v>28.398</v>
      </c>
      <c r="F51" s="5" t="n">
        <v>1.74</v>
      </c>
      <c r="G51" s="5" t="n">
        <v>-0.332165773</v>
      </c>
      <c r="H51" s="5" t="n">
        <v>15.99842105263158</v>
      </c>
      <c r="I51" s="5" t="n">
        <v>88.90148508207112</v>
      </c>
      <c r="J51" s="5" t="n">
        <v>65.59999999999999</v>
      </c>
      <c r="K51" s="5" t="n">
        <v>71.48699999999999</v>
      </c>
      <c r="L51" s="5" t="n">
        <v>3.7605</v>
      </c>
      <c r="M51" s="5" t="n">
        <v>0.7999999999999998</v>
      </c>
      <c r="N51" s="5" t="n">
        <v>1166.18</v>
      </c>
      <c r="O51" s="5" t="n">
        <v>77.06148529052734</v>
      </c>
    </row>
    <row r="52">
      <c r="A52" s="3" t="n">
        <v>38047</v>
      </c>
      <c r="B52" s="4" t="inlineStr">
        <is>
          <t>2004m3</t>
        </is>
      </c>
      <c r="C52" s="5" t="n">
        <v>92.5861</v>
      </c>
      <c r="D52" s="5" t="n">
        <v>18.4642698624057</v>
      </c>
      <c r="E52" s="5" t="n">
        <v>30.46478260869565</v>
      </c>
      <c r="F52" s="5" t="n">
        <v>1.58</v>
      </c>
      <c r="G52" s="5" t="n">
        <v>-0.5205356719999999</v>
      </c>
      <c r="H52" s="5" t="n">
        <v>17.68739130434783</v>
      </c>
      <c r="I52" s="5" t="n">
        <v>84.33089610192823</v>
      </c>
      <c r="J52" s="5" t="n">
        <v>65.2</v>
      </c>
      <c r="K52" s="5" t="n">
        <v>72.181</v>
      </c>
      <c r="L52" s="5" t="n">
        <v>3.756818181818182</v>
      </c>
      <c r="M52" s="5" t="n">
        <v>0.79</v>
      </c>
      <c r="N52" s="5" t="n">
        <v>1165.122727272727</v>
      </c>
      <c r="O52" s="5" t="n">
        <v>180.1163940429688</v>
      </c>
    </row>
    <row r="53">
      <c r="A53" s="3" t="n">
        <v>38078</v>
      </c>
      <c r="B53" s="4" t="inlineStr">
        <is>
          <t>2004m4</t>
        </is>
      </c>
      <c r="C53" s="5" t="n">
        <v>92.93000000000001</v>
      </c>
      <c r="D53" s="5" t="n">
        <v>18.641810918775</v>
      </c>
      <c r="E53" s="5" t="n">
        <v>31.06666666666667</v>
      </c>
      <c r="F53" s="5" t="n">
        <v>2.07</v>
      </c>
      <c r="G53" s="5" t="n">
        <v>-0.761418033</v>
      </c>
      <c r="H53" s="5" t="n">
        <v>15.69857142857143</v>
      </c>
      <c r="I53" s="5" t="n">
        <v>79.72691950012862</v>
      </c>
      <c r="J53" s="5" t="n">
        <v>65.8</v>
      </c>
      <c r="K53" s="5" t="n">
        <v>72.181</v>
      </c>
      <c r="L53" s="5" t="n">
        <v>3.7445</v>
      </c>
      <c r="M53" s="5" t="n">
        <v>0.75</v>
      </c>
      <c r="N53" s="5" t="n">
        <v>1152.025</v>
      </c>
      <c r="O53" s="5" t="n">
        <v>141.3205718994141</v>
      </c>
    </row>
    <row r="54">
      <c r="A54" s="3" t="n">
        <v>38108</v>
      </c>
      <c r="B54" s="4" t="inlineStr">
        <is>
          <t>2004m5</t>
        </is>
      </c>
      <c r="C54" s="5" t="n">
        <v>93.60129999999999</v>
      </c>
      <c r="D54" s="5" t="n">
        <v>18.641810918775</v>
      </c>
      <c r="E54" s="5" t="n">
        <v>34.47238095238095</v>
      </c>
      <c r="F54" s="5" t="n">
        <v>2.53</v>
      </c>
      <c r="G54" s="5" t="n">
        <v>-0.375845977</v>
      </c>
      <c r="H54" s="5" t="n">
        <v>17.705</v>
      </c>
      <c r="I54" s="5" t="n">
        <v>97.20803838432163</v>
      </c>
      <c r="J54" s="5" t="n">
        <v>65.7</v>
      </c>
      <c r="K54" s="5" t="n">
        <v>72.119</v>
      </c>
      <c r="L54" s="5" t="n">
        <v>3.750526315789474</v>
      </c>
      <c r="M54" s="5" t="n">
        <v>0.6800000000000006</v>
      </c>
      <c r="N54" s="5" t="n">
        <v>1176.236842105263</v>
      </c>
      <c r="O54" s="5" t="n">
        <v>205.3589477539062</v>
      </c>
    </row>
    <row r="55">
      <c r="A55" s="3" t="n">
        <v>38139</v>
      </c>
      <c r="B55" s="4" t="inlineStr">
        <is>
          <t>2004m6</t>
        </is>
      </c>
      <c r="C55" s="5" t="n">
        <v>92.871</v>
      </c>
      <c r="D55" s="5" t="n">
        <v>18.641810918775</v>
      </c>
      <c r="E55" s="5" t="n">
        <v>33.40590909090909</v>
      </c>
      <c r="F55" s="5" t="n">
        <v>2.76</v>
      </c>
      <c r="G55" s="5" t="n">
        <v>-0.379566538</v>
      </c>
      <c r="H55" s="5" t="n">
        <v>15.35714285714286</v>
      </c>
      <c r="I55" s="5" t="n">
        <v>85.27448960446613</v>
      </c>
      <c r="J55" s="5" t="n">
        <v>64.90000000000001</v>
      </c>
      <c r="K55" s="5" t="n">
        <v>72.119</v>
      </c>
      <c r="L55" s="5" t="n">
        <v>3.752727272727273</v>
      </c>
      <c r="M55" s="5" t="n">
        <v>0.6299999999999999</v>
      </c>
      <c r="N55" s="5" t="n">
        <v>1158.586363636364</v>
      </c>
      <c r="O55" s="5" t="n">
        <v>95.58273315429688</v>
      </c>
    </row>
    <row r="56">
      <c r="A56" s="3" t="n">
        <v>38169</v>
      </c>
      <c r="B56" s="4" t="inlineStr">
        <is>
          <t>2004m7</t>
        </is>
      </c>
      <c r="C56" s="5" t="n">
        <v>93.56489999999999</v>
      </c>
      <c r="D56" s="5" t="n">
        <v>18.9968930315135</v>
      </c>
      <c r="E56" s="5" t="n">
        <v>34.48363636363636</v>
      </c>
      <c r="F56" s="5" t="n">
        <v>2.64</v>
      </c>
      <c r="G56" s="5" t="n">
        <v>-0.315922023</v>
      </c>
      <c r="H56" s="5" t="n">
        <v>15.50238095238095</v>
      </c>
      <c r="I56" s="5" t="n">
        <v>88.95650111507221</v>
      </c>
      <c r="J56" s="5" t="n">
        <v>64.8</v>
      </c>
      <c r="K56" s="5" t="n">
        <v>72.56100000000001</v>
      </c>
      <c r="L56" s="5" t="n">
        <v>3.758636363636363</v>
      </c>
      <c r="M56" s="5" t="n">
        <v>0.5799999999999992</v>
      </c>
      <c r="N56" s="5" t="n">
        <v>1158.186363636363</v>
      </c>
      <c r="O56" s="5" t="n">
        <v>103.6414031982422</v>
      </c>
    </row>
    <row r="57">
      <c r="A57" s="3" t="n">
        <v>38200</v>
      </c>
      <c r="B57" s="4" t="inlineStr">
        <is>
          <t>2004m8</t>
        </is>
      </c>
      <c r="C57" s="5" t="n">
        <v>93.6277</v>
      </c>
      <c r="D57" s="5" t="n">
        <v>19.3519751442521</v>
      </c>
      <c r="E57" s="5" t="n">
        <v>38.29857142857143</v>
      </c>
      <c r="F57" s="5" t="n">
        <v>2.51</v>
      </c>
      <c r="G57" s="5" t="n">
        <v>-0.42020181</v>
      </c>
      <c r="H57" s="5" t="n">
        <v>16.68409090909091</v>
      </c>
      <c r="I57" s="5" t="n">
        <v>84.44987824707995</v>
      </c>
      <c r="J57" s="5" t="n">
        <v>65</v>
      </c>
      <c r="K57" s="5" t="n">
        <v>73.191</v>
      </c>
      <c r="L57" s="5" t="n">
        <v>3.603636363636364</v>
      </c>
      <c r="M57" s="5" t="n">
        <v>0.5600000000000001</v>
      </c>
      <c r="N57" s="5" t="n">
        <v>1158.095454545454</v>
      </c>
      <c r="O57" s="5" t="n">
        <v>132.9512634277344</v>
      </c>
    </row>
    <row r="58">
      <c r="A58" s="3" t="n">
        <v>38231</v>
      </c>
      <c r="B58" s="4" t="inlineStr">
        <is>
          <t>2004m9</t>
        </is>
      </c>
      <c r="C58" s="5" t="n">
        <v>93.7467</v>
      </c>
      <c r="D58" s="5" t="n">
        <v>19.7070572569907</v>
      </c>
      <c r="E58" s="5" t="n">
        <v>35.47863636363636</v>
      </c>
      <c r="F58" s="5" t="n">
        <v>2.53</v>
      </c>
      <c r="G58" s="5" t="n">
        <v>-0.542132066</v>
      </c>
      <c r="H58" s="5" t="n">
        <v>14.08095238095238</v>
      </c>
      <c r="I58" s="5" t="n">
        <v>108.5095798743633</v>
      </c>
      <c r="J58" s="5" t="n">
        <v>65.59999999999999</v>
      </c>
      <c r="K58" s="5" t="n">
        <v>73.191</v>
      </c>
      <c r="L58" s="5" t="n">
        <v>3.513157894736842</v>
      </c>
      <c r="M58" s="5" t="n">
        <v>0.5099999999999998</v>
      </c>
      <c r="N58" s="5" t="n">
        <v>1147.81052631579</v>
      </c>
      <c r="O58" s="5" t="n">
        <v>120.3370361328125</v>
      </c>
    </row>
    <row r="59">
      <c r="A59" s="3" t="n">
        <v>38261</v>
      </c>
      <c r="B59" s="4" t="inlineStr">
        <is>
          <t>2004m10</t>
        </is>
      </c>
      <c r="C59" s="5" t="n">
        <v>94.54649999999999</v>
      </c>
      <c r="D59" s="5" t="n">
        <v>20.0621393697292</v>
      </c>
      <c r="E59" s="5" t="n">
        <v>37.57904761904761</v>
      </c>
      <c r="F59" s="5" t="n">
        <v>2.58</v>
      </c>
      <c r="G59" s="5" t="n">
        <v>-0.525304104</v>
      </c>
      <c r="H59" s="5" t="n">
        <v>14.97380952380952</v>
      </c>
      <c r="I59" s="5" t="n">
        <v>118.3414529390377</v>
      </c>
      <c r="J59" s="5" t="n">
        <v>65.40000000000001</v>
      </c>
      <c r="K59" s="5" t="n">
        <v>73.191</v>
      </c>
      <c r="L59" s="5" t="n">
        <v>3.512857142857142</v>
      </c>
      <c r="M59" s="5" t="n">
        <v>0.4699999999999998</v>
      </c>
      <c r="N59" s="5" t="n">
        <v>1141.990476190476</v>
      </c>
      <c r="O59" s="5" t="n">
        <v>137.2985229492188</v>
      </c>
    </row>
    <row r="60">
      <c r="A60" s="3" t="n">
        <v>38292</v>
      </c>
      <c r="B60" s="4" t="inlineStr">
        <is>
          <t>2004m11</t>
        </is>
      </c>
      <c r="C60" s="5" t="n">
        <v>94.7813</v>
      </c>
      <c r="D60" s="5" t="n">
        <v>20.2396804260985</v>
      </c>
      <c r="E60" s="5" t="n">
        <v>34.8765</v>
      </c>
      <c r="F60" s="5" t="n">
        <v>2.85</v>
      </c>
      <c r="G60" s="5" t="n">
        <v>-0.663009575</v>
      </c>
      <c r="H60" s="5" t="n">
        <v>13.57714285714286</v>
      </c>
      <c r="I60" s="5" t="n">
        <v>96.69576749080885</v>
      </c>
      <c r="J60" s="5" t="n">
        <v>65.3</v>
      </c>
      <c r="K60" s="5" t="n">
        <v>72.75</v>
      </c>
      <c r="L60" s="5" t="n">
        <v>3.355909090909091</v>
      </c>
      <c r="M60" s="5" t="n">
        <v>0.4399999999999999</v>
      </c>
      <c r="N60" s="5" t="n">
        <v>1086.563636363637</v>
      </c>
      <c r="O60" s="5" t="n">
        <v>145.2265167236328</v>
      </c>
    </row>
    <row r="61">
      <c r="A61" s="3" t="n">
        <v>38322</v>
      </c>
      <c r="B61" s="4" t="inlineStr">
        <is>
          <t>2004m12</t>
        </is>
      </c>
      <c r="C61" s="5" t="n">
        <v>95.5365</v>
      </c>
      <c r="D61" s="5" t="n">
        <v>20.4172214824678</v>
      </c>
      <c r="E61" s="5" t="n">
        <v>34.2615</v>
      </c>
      <c r="F61" s="5" t="n">
        <v>3.01</v>
      </c>
      <c r="G61" s="5" t="n">
        <v>-0.710801303</v>
      </c>
      <c r="H61" s="5" t="n">
        <v>12.45954545454546</v>
      </c>
      <c r="I61" s="5" t="n">
        <v>66.53287700707968</v>
      </c>
      <c r="J61" s="5" t="n">
        <v>64.8</v>
      </c>
      <c r="K61" s="5" t="n">
        <v>72.877</v>
      </c>
      <c r="L61" s="5" t="n">
        <v>3.263478260869565</v>
      </c>
      <c r="M61" s="5" t="n">
        <v>0.4500000000000002</v>
      </c>
      <c r="N61" s="5" t="n">
        <v>1050.795652173913</v>
      </c>
      <c r="O61" s="5" t="n">
        <v>93.93433380126953</v>
      </c>
    </row>
    <row r="62">
      <c r="A62" s="3" t="n">
        <v>38353</v>
      </c>
      <c r="B62" s="4" t="inlineStr">
        <is>
          <t>2005m1</t>
        </is>
      </c>
      <c r="C62" s="5" t="n">
        <v>95.8801</v>
      </c>
      <c r="D62" s="5" t="n">
        <v>20.9498446515757</v>
      </c>
      <c r="E62" s="5" t="n">
        <v>37.8135</v>
      </c>
      <c r="F62" s="5" t="n">
        <v>3.22</v>
      </c>
      <c r="G62" s="5" t="n">
        <v>-0.693556289</v>
      </c>
      <c r="H62" s="5" t="n">
        <v>13.438</v>
      </c>
      <c r="I62" s="5" t="n">
        <v>66.73432810959338</v>
      </c>
      <c r="J62" s="5" t="n">
        <v>67</v>
      </c>
      <c r="K62" s="5" t="n">
        <v>73.59399999999999</v>
      </c>
      <c r="L62" s="5" t="n">
        <v>3.251904761904762</v>
      </c>
      <c r="M62" s="5" t="n">
        <v>0.4600000000000004</v>
      </c>
      <c r="N62" s="5" t="n">
        <v>1038.133333333333</v>
      </c>
      <c r="O62" s="5" t="n">
        <v>107.9838180541992</v>
      </c>
    </row>
    <row r="63">
      <c r="A63" s="3" t="n">
        <v>38384</v>
      </c>
      <c r="B63" s="4" t="inlineStr">
        <is>
          <t>2005m2</t>
        </is>
      </c>
      <c r="C63" s="5" t="n">
        <v>96.5761</v>
      </c>
      <c r="D63" s="5" t="n">
        <v>21.127385707945</v>
      </c>
      <c r="E63" s="5" t="n">
        <v>39.82388888888889</v>
      </c>
      <c r="F63" s="5" t="n">
        <v>3.38</v>
      </c>
      <c r="G63" s="5" t="n">
        <v>-0.924644142</v>
      </c>
      <c r="H63" s="5" t="n">
        <v>11.70894736842105</v>
      </c>
      <c r="I63" s="5" t="n">
        <v>51.69568735068457</v>
      </c>
      <c r="J63" s="5" t="n">
        <v>66.59999999999999</v>
      </c>
      <c r="K63" s="5" t="n">
        <v>73.892</v>
      </c>
      <c r="L63" s="5" t="n">
        <v>3.255294117647058</v>
      </c>
      <c r="M63" s="5" t="n">
        <v>0.4399999999999995</v>
      </c>
      <c r="N63" s="5" t="n">
        <v>1020.511764705882</v>
      </c>
      <c r="O63" s="5" t="n">
        <v>49.7583122253418</v>
      </c>
    </row>
    <row r="64">
      <c r="A64" s="3" t="n">
        <v>38412</v>
      </c>
      <c r="B64" s="4" t="inlineStr">
        <is>
          <t>2005m3</t>
        </is>
      </c>
      <c r="C64" s="5" t="n">
        <v>96.4456</v>
      </c>
      <c r="D64" s="5" t="n">
        <v>21.3049267643142</v>
      </c>
      <c r="E64" s="5" t="n">
        <v>45.57636363636363</v>
      </c>
      <c r="F64" s="5" t="n">
        <v>3.73</v>
      </c>
      <c r="G64" s="5" t="n">
        <v>-0.636246409</v>
      </c>
      <c r="H64" s="5" t="n">
        <v>13.12636363636364</v>
      </c>
      <c r="I64" s="5" t="n">
        <v>49.30863986934948</v>
      </c>
      <c r="J64" s="5" t="n">
        <v>67.5</v>
      </c>
      <c r="K64" s="5" t="n">
        <v>74.33799999999999</v>
      </c>
      <c r="L64" s="5" t="n">
        <v>3.238181818181818</v>
      </c>
      <c r="M64" s="5" t="n">
        <v>0.4400000000000004</v>
      </c>
      <c r="N64" s="5" t="n">
        <v>1008.009090909091</v>
      </c>
      <c r="O64" s="5" t="n">
        <v>59.1879768371582</v>
      </c>
    </row>
    <row r="65">
      <c r="A65" s="3" t="n">
        <v>38443</v>
      </c>
      <c r="B65" s="4" t="inlineStr">
        <is>
          <t>2005m4</t>
        </is>
      </c>
      <c r="C65" s="5" t="n">
        <v>96.6532</v>
      </c>
      <c r="D65" s="5" t="n">
        <v>21.4824678206835</v>
      </c>
      <c r="E65" s="5" t="n">
        <v>47.10142857142857</v>
      </c>
      <c r="F65" s="5" t="n">
        <v>3.65</v>
      </c>
      <c r="G65" s="5" t="n">
        <v>-0.382010077</v>
      </c>
      <c r="H65" s="5" t="n">
        <v>14.45904761904762</v>
      </c>
      <c r="I65" s="5" t="n">
        <v>78.39587328372458</v>
      </c>
      <c r="J65" s="5" t="n">
        <v>67.09999999999999</v>
      </c>
      <c r="K65" s="5" t="n">
        <v>74.413</v>
      </c>
      <c r="L65" s="5" t="n">
        <v>3.2525</v>
      </c>
      <c r="M65" s="5" t="n">
        <v>0.4200000000000004</v>
      </c>
      <c r="N65" s="5" t="n">
        <v>1009.725</v>
      </c>
      <c r="O65" s="5" t="n">
        <v>47.20574188232422</v>
      </c>
    </row>
    <row r="66">
      <c r="A66" s="3" t="n">
        <v>38473</v>
      </c>
      <c r="B66" s="4" t="inlineStr">
        <is>
          <t>2005m5</t>
        </is>
      </c>
      <c r="C66" s="5" t="n">
        <v>96.7402</v>
      </c>
      <c r="D66" s="5" t="n">
        <v>21.6600088770528</v>
      </c>
      <c r="E66" s="5" t="n">
        <v>45</v>
      </c>
      <c r="F66" s="5" t="n">
        <v>3.64</v>
      </c>
      <c r="G66" s="5" t="n">
        <v>-0.299820082</v>
      </c>
      <c r="H66" s="5" t="n">
        <v>13.96761904761905</v>
      </c>
      <c r="I66" s="5" t="n">
        <v>75.09076519417845</v>
      </c>
      <c r="J66" s="5" t="n">
        <v>67.2</v>
      </c>
      <c r="K66" s="5" t="n">
        <v>74.33799999999999</v>
      </c>
      <c r="L66" s="5" t="n">
        <v>3.27952380952381</v>
      </c>
      <c r="M66" s="5" t="n">
        <v>0.4100000000000001</v>
      </c>
      <c r="N66" s="5" t="n">
        <v>1002.419047619048</v>
      </c>
      <c r="O66" s="5" t="n">
        <v>68.58766174316406</v>
      </c>
    </row>
    <row r="67">
      <c r="A67" s="3" t="n">
        <v>38504</v>
      </c>
      <c r="B67" s="4" t="inlineStr">
        <is>
          <t>2005m6</t>
        </is>
      </c>
      <c r="C67" s="5" t="n">
        <v>97.17529999999999</v>
      </c>
      <c r="D67" s="5" t="n">
        <v>21.4824678206835</v>
      </c>
      <c r="E67" s="5" t="n">
        <v>50.975</v>
      </c>
      <c r="F67" s="5" t="n">
        <v>3.64</v>
      </c>
      <c r="G67" s="5" t="n">
        <v>-0.44593861</v>
      </c>
      <c r="H67" s="5" t="n">
        <v>11.86863636363636</v>
      </c>
      <c r="I67" s="5" t="n">
        <v>82.0055894646693</v>
      </c>
      <c r="J67" s="5" t="n">
        <v>67.7</v>
      </c>
      <c r="K67" s="5" t="n">
        <v>74.114</v>
      </c>
      <c r="L67" s="5" t="n">
        <v>3.262857142857142</v>
      </c>
      <c r="M67" s="5" t="n">
        <v>0.3899999999999997</v>
      </c>
      <c r="N67" s="5" t="n">
        <v>1012.176190476191</v>
      </c>
      <c r="O67" s="5" t="n">
        <v>50.87404632568359</v>
      </c>
    </row>
    <row r="68">
      <c r="A68" s="3" t="n">
        <v>38534</v>
      </c>
      <c r="B68" s="4" t="inlineStr">
        <is>
          <t>2005m7</t>
        </is>
      </c>
      <c r="C68" s="5" t="n">
        <v>96.8676</v>
      </c>
      <c r="D68" s="5" t="n">
        <v>22.1926320461607</v>
      </c>
      <c r="E68" s="5" t="n">
        <v>52.85238095238095</v>
      </c>
      <c r="F68" s="5" t="n">
        <v>3.87</v>
      </c>
      <c r="G68" s="5" t="n">
        <v>-0.548412957</v>
      </c>
      <c r="H68" s="5" t="n">
        <v>11.049</v>
      </c>
      <c r="I68" s="5" t="n">
        <v>71.93954705749206</v>
      </c>
      <c r="J68" s="5" t="n">
        <v>67.90000000000001</v>
      </c>
      <c r="K68" s="5" t="n">
        <v>74.413</v>
      </c>
      <c r="L68" s="5" t="n">
        <v>3.231904761904762</v>
      </c>
      <c r="M68" s="5" t="n">
        <v>0.3999999999999995</v>
      </c>
      <c r="N68" s="5" t="n">
        <v>1037.504761904762</v>
      </c>
      <c r="O68" s="5" t="n">
        <v>74.23232269287109</v>
      </c>
    </row>
    <row r="69">
      <c r="A69" s="3" t="n">
        <v>38565</v>
      </c>
      <c r="B69" s="4" t="inlineStr">
        <is>
          <t>2005m8</t>
        </is>
      </c>
      <c r="C69" s="5" t="n">
        <v>97.1833</v>
      </c>
      <c r="D69" s="5" t="n">
        <v>22.5477141588992</v>
      </c>
      <c r="E69" s="5" t="n">
        <v>56.62590909090909</v>
      </c>
      <c r="F69" s="5" t="n">
        <v>4.04</v>
      </c>
      <c r="G69" s="5" t="n">
        <v>-0.5472599500000001</v>
      </c>
      <c r="H69" s="5" t="n">
        <v>12.95130434782609</v>
      </c>
      <c r="I69" s="5" t="n">
        <v>59.61723243978165</v>
      </c>
      <c r="J69" s="5" t="n">
        <v>68.40000000000001</v>
      </c>
      <c r="K69" s="5" t="n">
        <v>74.636</v>
      </c>
      <c r="L69" s="5" t="n">
        <v>3.245454545454546</v>
      </c>
      <c r="M69" s="5" t="n">
        <v>0.4199999999999999</v>
      </c>
      <c r="N69" s="5" t="n">
        <v>1021.527272727273</v>
      </c>
      <c r="O69" s="5" t="n">
        <v>50.94993209838867</v>
      </c>
    </row>
    <row r="70">
      <c r="A70" s="3" t="n">
        <v>38596</v>
      </c>
      <c r="B70" s="4" t="inlineStr">
        <is>
          <t>2005m9</t>
        </is>
      </c>
      <c r="C70" s="5" t="n">
        <v>95.3005</v>
      </c>
      <c r="D70" s="5" t="n">
        <v>22.9027962716378</v>
      </c>
      <c r="E70" s="5" t="n">
        <v>56.54318181818182</v>
      </c>
      <c r="F70" s="5" t="n">
        <v>3.95</v>
      </c>
      <c r="G70" s="5" t="n">
        <v>-0.454514281</v>
      </c>
      <c r="H70" s="5" t="n">
        <v>12.62809523809524</v>
      </c>
      <c r="I70" s="5" t="n">
        <v>105.7698563692005</v>
      </c>
      <c r="J70" s="5" t="n">
        <v>68.5</v>
      </c>
      <c r="K70" s="5" t="n">
        <v>75.008</v>
      </c>
      <c r="L70" s="5" t="n">
        <v>3.239523809523809</v>
      </c>
      <c r="M70" s="5" t="n">
        <v>0.4000000000000004</v>
      </c>
      <c r="N70" s="5" t="n">
        <v>1029.528571428571</v>
      </c>
      <c r="O70" s="5" t="n">
        <v>86.64985656738281</v>
      </c>
    </row>
    <row r="71">
      <c r="A71" s="3" t="n">
        <v>38626</v>
      </c>
      <c r="B71" s="4" t="inlineStr">
        <is>
          <t>2005m10</t>
        </is>
      </c>
      <c r="C71" s="5" t="n">
        <v>96.4572</v>
      </c>
      <c r="D71" s="5" t="n">
        <v>23.2578783843764</v>
      </c>
      <c r="E71" s="5" t="n">
        <v>53.66952380952381</v>
      </c>
      <c r="F71" s="5" t="n">
        <v>4.27</v>
      </c>
      <c r="G71" s="5" t="n">
        <v>-0.336620093</v>
      </c>
      <c r="H71" s="5" t="n">
        <v>14.93761904761905</v>
      </c>
      <c r="I71" s="5" t="n">
        <v>79.82999973324895</v>
      </c>
      <c r="J71" s="5" t="n">
        <v>69.2</v>
      </c>
      <c r="K71" s="5" t="n">
        <v>74.85899999999999</v>
      </c>
      <c r="L71" s="5" t="n">
        <v>3.4265</v>
      </c>
      <c r="M71" s="5" t="n">
        <v>0.3900000000000006</v>
      </c>
      <c r="N71" s="5" t="n">
        <v>1046.16</v>
      </c>
      <c r="O71" s="5" t="n">
        <v>86.60930633544922</v>
      </c>
    </row>
    <row r="72">
      <c r="A72" s="3" t="n">
        <v>38657</v>
      </c>
      <c r="B72" s="4" t="inlineStr">
        <is>
          <t>2005m11</t>
        </is>
      </c>
      <c r="C72" s="5" t="n">
        <v>97.5414</v>
      </c>
      <c r="D72" s="5" t="n">
        <v>23.612960497115</v>
      </c>
      <c r="E72" s="5" t="n">
        <v>51.31047619047619</v>
      </c>
      <c r="F72" s="5" t="n">
        <v>4.42</v>
      </c>
      <c r="G72" s="5" t="n">
        <v>-0.306642496</v>
      </c>
      <c r="H72" s="5" t="n">
        <v>12.14761904761905</v>
      </c>
      <c r="I72" s="5" t="n">
        <v>60.06785222693027</v>
      </c>
      <c r="J72" s="5" t="n">
        <v>70.7</v>
      </c>
      <c r="K72" s="5" t="n">
        <v>74.56100000000001</v>
      </c>
      <c r="L72" s="5" t="n">
        <v>3.489090909090909</v>
      </c>
      <c r="M72" s="5" t="n">
        <v>0.4000000000000004</v>
      </c>
      <c r="N72" s="5" t="n">
        <v>1040.572727272727</v>
      </c>
      <c r="O72" s="5" t="n">
        <v>62.46623611450195</v>
      </c>
    </row>
    <row r="73">
      <c r="A73" s="3" t="n">
        <v>38687</v>
      </c>
      <c r="B73" s="4" t="inlineStr">
        <is>
          <t>2005m12</t>
        </is>
      </c>
      <c r="C73" s="5" t="n">
        <v>98.04519999999999</v>
      </c>
      <c r="D73" s="5" t="n">
        <v>23.9680426098535</v>
      </c>
      <c r="E73" s="5" t="n">
        <v>53.12714285714286</v>
      </c>
      <c r="F73" s="5" t="n">
        <v>4.4</v>
      </c>
      <c r="G73" s="5" t="n">
        <v>-0.278057618</v>
      </c>
      <c r="H73" s="5" t="n">
        <v>11.26</v>
      </c>
      <c r="I73" s="5" t="n">
        <v>70.02675640647561</v>
      </c>
      <c r="J73" s="5" t="n">
        <v>69.5</v>
      </c>
      <c r="K73" s="5" t="n">
        <v>74.785</v>
      </c>
      <c r="L73" s="5" t="n">
        <v>3.676818181818182</v>
      </c>
      <c r="M73" s="5" t="n">
        <v>0.4300000000000006</v>
      </c>
      <c r="N73" s="5" t="n">
        <v>1023.119047619048</v>
      </c>
      <c r="O73" s="5" t="n">
        <v>79.16999816894531</v>
      </c>
    </row>
    <row r="74">
      <c r="A74" s="3" t="n">
        <v>38718</v>
      </c>
      <c r="B74" s="4" t="inlineStr">
        <is>
          <t>2006m1</t>
        </is>
      </c>
      <c r="C74" s="5" t="n">
        <v>98.1999</v>
      </c>
      <c r="D74" s="5" t="n">
        <v>24.3231247225921</v>
      </c>
      <c r="E74" s="5" t="n">
        <v>58.31333333333333</v>
      </c>
      <c r="F74" s="5" t="n">
        <v>4.4</v>
      </c>
      <c r="G74" s="5" t="n">
        <v>-0.347048358</v>
      </c>
      <c r="H74" s="5" t="n">
        <v>12.036</v>
      </c>
      <c r="I74" s="5" t="n">
        <v>75.0792378739031</v>
      </c>
      <c r="J74" s="5" t="n">
        <v>71</v>
      </c>
      <c r="K74" s="5" t="n">
        <v>75.23099999999999</v>
      </c>
      <c r="L74" s="5" t="n">
        <v>3.735238095238095</v>
      </c>
      <c r="M74" s="5" t="n">
        <v>0.4800000000000004</v>
      </c>
      <c r="N74" s="5" t="n">
        <v>983.757142857143</v>
      </c>
      <c r="O74" s="5" t="n">
        <v>76.67048645019531</v>
      </c>
    </row>
    <row r="75">
      <c r="A75" s="3" t="n">
        <v>38749</v>
      </c>
      <c r="B75" s="4" t="inlineStr">
        <is>
          <t>2006m2</t>
        </is>
      </c>
      <c r="C75" s="5" t="n">
        <v>98.2413</v>
      </c>
      <c r="D75" s="5" t="n">
        <v>24.5006657789614</v>
      </c>
      <c r="E75" s="5" t="n">
        <v>57.5765</v>
      </c>
      <c r="F75" s="5" t="n">
        <v>4.67</v>
      </c>
      <c r="G75" s="5" t="n">
        <v>-0.301725344</v>
      </c>
      <c r="H75" s="5" t="n">
        <v>12.47105263157895</v>
      </c>
      <c r="I75" s="5" t="n">
        <v>69.49174527895298</v>
      </c>
      <c r="J75" s="5" t="n">
        <v>70.40000000000001</v>
      </c>
      <c r="K75" s="5" t="n">
        <v>75.381</v>
      </c>
      <c r="L75" s="5" t="n">
        <v>3.9055</v>
      </c>
      <c r="M75" s="5" t="n">
        <v>0.46</v>
      </c>
      <c r="N75" s="5" t="n">
        <v>969.9549999999999</v>
      </c>
      <c r="O75" s="5" t="n">
        <v>82.13278198242188</v>
      </c>
    </row>
    <row r="76">
      <c r="A76" s="3" t="n">
        <v>38777</v>
      </c>
      <c r="B76" s="4" t="inlineStr">
        <is>
          <t>2006m3</t>
        </is>
      </c>
      <c r="C76" s="5" t="n">
        <v>98.4628</v>
      </c>
      <c r="D76" s="5" t="n">
        <v>24.8557478917</v>
      </c>
      <c r="E76" s="5" t="n">
        <v>57.64521739130434</v>
      </c>
      <c r="F76" s="5" t="n">
        <v>4.73</v>
      </c>
      <c r="G76" s="5" t="n">
        <v>-0.388903541</v>
      </c>
      <c r="H76" s="5" t="n">
        <v>11.69391304347826</v>
      </c>
      <c r="I76" s="5" t="n">
        <v>55.00807287658311</v>
      </c>
      <c r="J76" s="5" t="n">
        <v>70.90000000000001</v>
      </c>
      <c r="K76" s="5" t="n">
        <v>75.827</v>
      </c>
      <c r="L76" s="5" t="n">
        <v>3.969090909090909</v>
      </c>
      <c r="M76" s="5" t="n">
        <v>0.3700000000000001</v>
      </c>
      <c r="N76" s="5" t="n">
        <v>975.1681818181819</v>
      </c>
      <c r="O76" s="5" t="n">
        <v>63.84933471679688</v>
      </c>
    </row>
    <row r="77">
      <c r="A77" s="3" t="n">
        <v>38808</v>
      </c>
      <c r="B77" s="4" t="inlineStr">
        <is>
          <t>2006m4</t>
        </is>
      </c>
      <c r="C77" s="5" t="n">
        <v>98.76179999999999</v>
      </c>
      <c r="D77" s="5" t="n">
        <v>25.0332889480692</v>
      </c>
      <c r="E77" s="5" t="n">
        <v>64.05684210526316</v>
      </c>
      <c r="F77" s="5" t="n">
        <v>4.89</v>
      </c>
      <c r="G77" s="5" t="n">
        <v>-0.425954873</v>
      </c>
      <c r="H77" s="5" t="n">
        <v>11.84736842105263</v>
      </c>
      <c r="I77" s="5" t="n">
        <v>81.65172364535397</v>
      </c>
      <c r="J77" s="5" t="n">
        <v>71.7</v>
      </c>
      <c r="K77" s="5" t="n">
        <v>75.902</v>
      </c>
      <c r="L77" s="5" t="n">
        <v>3.965</v>
      </c>
      <c r="M77" s="5" t="n">
        <v>0.29</v>
      </c>
      <c r="N77" s="5" t="n">
        <v>952.915</v>
      </c>
      <c r="O77" s="5" t="n">
        <v>85.36317443847656</v>
      </c>
    </row>
    <row r="78">
      <c r="A78" s="3" t="n">
        <v>38838</v>
      </c>
      <c r="B78" s="4" t="inlineStr">
        <is>
          <t>2006m5</t>
        </is>
      </c>
      <c r="C78" s="5" t="n">
        <v>98.7869</v>
      </c>
      <c r="D78" s="5" t="n">
        <v>25.3883710608078</v>
      </c>
      <c r="E78" s="5" t="n">
        <v>64.90739130434783</v>
      </c>
      <c r="F78" s="5" t="n">
        <v>4.97</v>
      </c>
      <c r="G78" s="5" t="n">
        <v>-0.327542185</v>
      </c>
      <c r="H78" s="5" t="n">
        <v>14.45454545454546</v>
      </c>
      <c r="I78" s="5" t="n">
        <v>67.80979905027529</v>
      </c>
      <c r="J78" s="5" t="n">
        <v>72</v>
      </c>
      <c r="K78" s="5" t="n">
        <v>76.05</v>
      </c>
      <c r="L78" s="5" t="n">
        <v>3.958</v>
      </c>
      <c r="M78" s="5" t="n">
        <v>0.2699999999999996</v>
      </c>
      <c r="N78" s="5" t="n">
        <v>941.21</v>
      </c>
      <c r="O78" s="5" t="n">
        <v>84.96298217773438</v>
      </c>
    </row>
    <row r="79">
      <c r="A79" s="3" t="n">
        <v>38869</v>
      </c>
      <c r="B79" s="4" t="inlineStr">
        <is>
          <t>2006m6</t>
        </is>
      </c>
      <c r="C79" s="5" t="n">
        <v>99.0997</v>
      </c>
      <c r="D79" s="5" t="n">
        <v>25.5659121171771</v>
      </c>
      <c r="E79" s="5" t="n">
        <v>65.08090909090909</v>
      </c>
      <c r="F79" s="5" t="n">
        <v>5.12</v>
      </c>
      <c r="G79" s="5" t="n">
        <v>-0.337316299</v>
      </c>
      <c r="H79" s="5" t="n">
        <v>16.91863636363636</v>
      </c>
      <c r="I79" s="5" t="n">
        <v>82.58628252380929</v>
      </c>
      <c r="J79" s="5" t="n">
        <v>70.5</v>
      </c>
      <c r="K79" s="5" t="n">
        <v>75.902</v>
      </c>
      <c r="L79" s="5" t="n">
        <v>4.151428571428572</v>
      </c>
      <c r="M79" s="5" t="n">
        <v>0.2800000000000002</v>
      </c>
      <c r="N79" s="5" t="n">
        <v>955.2761904761904</v>
      </c>
      <c r="O79" s="5" t="n">
        <v>111.2031555175781</v>
      </c>
    </row>
    <row r="80">
      <c r="A80" s="3" t="n">
        <v>38899</v>
      </c>
      <c r="B80" s="4" t="inlineStr">
        <is>
          <t>2006m7</t>
        </is>
      </c>
      <c r="C80" s="5" t="n">
        <v>99.0489</v>
      </c>
      <c r="D80" s="5" t="n">
        <v>25.9209942299157</v>
      </c>
      <c r="E80" s="5" t="n">
        <v>69.04904761904761</v>
      </c>
      <c r="F80" s="5" t="n">
        <v>5.12</v>
      </c>
      <c r="G80" s="5" t="n">
        <v>-0.236205315</v>
      </c>
      <c r="H80" s="5" t="n">
        <v>15.326</v>
      </c>
      <c r="I80" s="5" t="n">
        <v>84.47445648144311</v>
      </c>
      <c r="J80" s="5" t="n">
        <v>69.2</v>
      </c>
      <c r="K80" s="5" t="n">
        <v>76.199</v>
      </c>
      <c r="L80" s="5" t="n">
        <v>4.2085</v>
      </c>
      <c r="M80" s="5" t="n">
        <v>0.29</v>
      </c>
      <c r="N80" s="5" t="n">
        <v>950.5600000000001</v>
      </c>
      <c r="O80" s="5" t="n">
        <v>94.99897003173828</v>
      </c>
    </row>
    <row r="81">
      <c r="A81" s="3" t="n">
        <v>38930</v>
      </c>
      <c r="B81" s="4" t="inlineStr">
        <is>
          <t>2006m8</t>
        </is>
      </c>
      <c r="C81" s="5" t="n">
        <v>99.4836</v>
      </c>
      <c r="D81" s="5" t="n">
        <v>26.098535286285</v>
      </c>
      <c r="E81" s="5" t="n">
        <v>68.78173913043479</v>
      </c>
      <c r="F81" s="5" t="n">
        <v>4.9</v>
      </c>
      <c r="G81" s="5" t="n">
        <v>-0.261278123</v>
      </c>
      <c r="H81" s="5" t="n">
        <v>13.35173913043478</v>
      </c>
      <c r="I81" s="5" t="n">
        <v>71.51509490076546</v>
      </c>
      <c r="J81" s="5" t="n">
        <v>72.7</v>
      </c>
      <c r="K81" s="5" t="n">
        <v>76.645</v>
      </c>
      <c r="L81" s="5" t="n">
        <v>4.407727272727272</v>
      </c>
      <c r="M81" s="5" t="n">
        <v>0.3300000000000001</v>
      </c>
      <c r="N81" s="5" t="n">
        <v>961.0227272727273</v>
      </c>
      <c r="O81" s="5" t="n">
        <v>64.38674926757812</v>
      </c>
    </row>
    <row r="82">
      <c r="A82" s="3" t="n">
        <v>38961</v>
      </c>
      <c r="B82" s="4" t="inlineStr">
        <is>
          <t>2006m9</t>
        </is>
      </c>
      <c r="C82" s="5" t="n">
        <v>99.31829999999999</v>
      </c>
      <c r="D82" s="5" t="n">
        <v>26.4536173990235</v>
      </c>
      <c r="E82" s="5" t="n">
        <v>59.77285714285714</v>
      </c>
      <c r="F82" s="5" t="n">
        <v>4.77</v>
      </c>
      <c r="G82" s="5" t="n">
        <v>-0.322647068</v>
      </c>
      <c r="H82" s="5" t="n">
        <v>12.1845</v>
      </c>
      <c r="I82" s="5" t="n">
        <v>61.75134643114063</v>
      </c>
      <c r="J82" s="5" t="n">
        <v>72.40000000000001</v>
      </c>
      <c r="K82" s="5" t="n">
        <v>76.86799999999999</v>
      </c>
      <c r="L82" s="5" t="n">
        <v>4.468095238095238</v>
      </c>
      <c r="M82" s="5" t="n">
        <v>0.3299999999999992</v>
      </c>
      <c r="N82" s="5" t="n">
        <v>952.7666666666667</v>
      </c>
      <c r="O82" s="5" t="n">
        <v>70.37747192382812</v>
      </c>
    </row>
    <row r="83">
      <c r="A83" s="3" t="n">
        <v>38991</v>
      </c>
      <c r="B83" s="4" t="inlineStr">
        <is>
          <t>2006m10</t>
        </is>
      </c>
      <c r="C83" s="5" t="n">
        <v>99.20440000000001</v>
      </c>
      <c r="D83" s="5" t="n">
        <v>26.9862405681314</v>
      </c>
      <c r="E83" s="5" t="n">
        <v>56.50095238095238</v>
      </c>
      <c r="F83" s="5" t="n">
        <v>4.8</v>
      </c>
      <c r="G83" s="5" t="n">
        <v>-0.352717256</v>
      </c>
      <c r="H83" s="5" t="n">
        <v>11.30636363636364</v>
      </c>
      <c r="I83" s="5" t="n">
        <v>55.62951083270926</v>
      </c>
      <c r="J83" s="5" t="n">
        <v>75.5</v>
      </c>
      <c r="K83" s="5" t="n">
        <v>76.496</v>
      </c>
      <c r="L83" s="5" t="n">
        <v>4.472631578947369</v>
      </c>
      <c r="M83" s="5" t="n">
        <v>0.3099999999999996</v>
      </c>
      <c r="N83" s="5" t="n">
        <v>954.1736842105263</v>
      </c>
      <c r="O83" s="5" t="n">
        <v>140.8083801269531</v>
      </c>
    </row>
    <row r="84">
      <c r="A84" s="3" t="n">
        <v>39022</v>
      </c>
      <c r="B84" s="4" t="inlineStr">
        <is>
          <t>2006m11</t>
        </is>
      </c>
      <c r="C84" s="5" t="n">
        <v>99.1627</v>
      </c>
      <c r="D84" s="5" t="n">
        <v>27.34132268087</v>
      </c>
      <c r="E84" s="5" t="n">
        <v>56.81545454545455</v>
      </c>
      <c r="F84" s="5" t="n">
        <v>4.74</v>
      </c>
      <c r="G84" s="5" t="n">
        <v>-0.3215146</v>
      </c>
      <c r="H84" s="5" t="n">
        <v>10.81761904761905</v>
      </c>
      <c r="I84" s="5" t="n">
        <v>49.59913098535966</v>
      </c>
      <c r="J84" s="5" t="n">
        <v>74.5</v>
      </c>
      <c r="K84" s="5" t="n">
        <v>76.125</v>
      </c>
      <c r="L84" s="5" t="n">
        <v>4.47</v>
      </c>
      <c r="M84" s="5" t="n">
        <v>0.3300000000000001</v>
      </c>
      <c r="N84" s="5" t="n">
        <v>935.5227272727273</v>
      </c>
      <c r="O84" s="5" t="n">
        <v>108.077262878418</v>
      </c>
    </row>
    <row r="85">
      <c r="A85" s="3" t="n">
        <v>39052</v>
      </c>
      <c r="B85" s="4" t="inlineStr">
        <is>
          <t>2006m12</t>
        </is>
      </c>
      <c r="C85" s="5" t="n">
        <v>100.1735</v>
      </c>
      <c r="D85" s="5" t="n">
        <v>27.6964047936085</v>
      </c>
      <c r="E85" s="5" t="n">
        <v>58.66950000000001</v>
      </c>
      <c r="F85" s="5" t="n">
        <v>4.67</v>
      </c>
      <c r="G85" s="5" t="n">
        <v>-0.456903718</v>
      </c>
      <c r="H85" s="5" t="n">
        <v>10.9645</v>
      </c>
      <c r="I85" s="5" t="n">
        <v>51.03903886406231</v>
      </c>
      <c r="J85" s="5" t="n">
        <v>73.3</v>
      </c>
      <c r="K85" s="5" t="n">
        <v>76.348</v>
      </c>
      <c r="L85" s="5" t="n">
        <v>4.489</v>
      </c>
      <c r="M85" s="5" t="n">
        <v>0.3599999999999994</v>
      </c>
      <c r="N85" s="5" t="n">
        <v>925.078947368421</v>
      </c>
      <c r="O85" s="5" t="n">
        <v>106.0581665039062</v>
      </c>
    </row>
    <row r="86">
      <c r="A86" s="3" t="n">
        <v>39083</v>
      </c>
      <c r="B86" s="4" t="inlineStr">
        <is>
          <t>2007m1</t>
        </is>
      </c>
      <c r="C86" s="5" t="n">
        <v>99.83459999999999</v>
      </c>
      <c r="D86" s="5" t="n">
        <v>28.7616511318242</v>
      </c>
      <c r="E86" s="5" t="n">
        <v>52.01181818181818</v>
      </c>
      <c r="F86" s="5" t="n">
        <v>4.88</v>
      </c>
      <c r="G86" s="5" t="n">
        <v>-0.517365387</v>
      </c>
      <c r="H86" s="5" t="n">
        <v>11.0425</v>
      </c>
      <c r="I86" s="5" t="n">
        <v>74.5100265359479</v>
      </c>
      <c r="J86" s="5" t="n">
        <v>73.7</v>
      </c>
      <c r="K86" s="5" t="n">
        <v>76.496</v>
      </c>
      <c r="L86" s="5" t="n">
        <v>4.630454545454546</v>
      </c>
      <c r="M86" s="5" t="n">
        <v>0.3500000000000005</v>
      </c>
      <c r="N86" s="5" t="n">
        <v>936.8954545454545</v>
      </c>
      <c r="O86" s="5" t="n">
        <v>134.7916107177734</v>
      </c>
    </row>
    <row r="87">
      <c r="A87" s="3" t="n">
        <v>39114</v>
      </c>
      <c r="B87" s="4" t="inlineStr">
        <is>
          <t>2007m2</t>
        </is>
      </c>
      <c r="C87" s="5" t="n">
        <v>100.7753</v>
      </c>
      <c r="D87" s="5" t="n">
        <v>29.1167332445628</v>
      </c>
      <c r="E87" s="5" t="n">
        <v>55.68049999999999</v>
      </c>
      <c r="F87" s="5" t="n">
        <v>4.85</v>
      </c>
      <c r="G87" s="5" t="n">
        <v>-0.512690501</v>
      </c>
      <c r="H87" s="5" t="n">
        <v>11.15526315789474</v>
      </c>
      <c r="I87" s="5" t="n">
        <v>50.86002527277037</v>
      </c>
      <c r="J87" s="5" t="n">
        <v>75.59999999999999</v>
      </c>
      <c r="K87" s="5" t="n">
        <v>77.017</v>
      </c>
      <c r="L87" s="5" t="n">
        <v>4.584210526315789</v>
      </c>
      <c r="M87" s="5" t="n">
        <v>0.3700000000000001</v>
      </c>
      <c r="N87" s="5" t="n">
        <v>937.1736842105263</v>
      </c>
      <c r="O87" s="5" t="n">
        <v>66.3350830078125</v>
      </c>
    </row>
    <row r="88">
      <c r="A88" s="3" t="n">
        <v>39142</v>
      </c>
      <c r="B88" s="4" t="inlineStr">
        <is>
          <t>2007m3</t>
        </is>
      </c>
      <c r="C88" s="5" t="n">
        <v>100.9547</v>
      </c>
      <c r="D88" s="5" t="n">
        <v>29.1167332445628</v>
      </c>
      <c r="E88" s="5" t="n">
        <v>59.05409090909091</v>
      </c>
      <c r="F88" s="5" t="n">
        <v>4.57</v>
      </c>
      <c r="G88" s="5" t="n">
        <v>-0.323044878</v>
      </c>
      <c r="H88" s="5" t="n">
        <v>15.16272727272727</v>
      </c>
      <c r="I88" s="5" t="n">
        <v>72.52986574387415</v>
      </c>
      <c r="J88" s="5" t="n">
        <v>74.09999999999999</v>
      </c>
      <c r="K88" s="5" t="n">
        <v>77.464</v>
      </c>
      <c r="L88" s="5" t="n">
        <v>4.584761904761905</v>
      </c>
      <c r="M88" s="5" t="n">
        <v>0.4100000000000001</v>
      </c>
      <c r="N88" s="5" t="n">
        <v>943.2285714285714</v>
      </c>
      <c r="O88" s="5" t="n">
        <v>79.73516082763672</v>
      </c>
    </row>
    <row r="89">
      <c r="A89" s="3" t="n">
        <v>39173</v>
      </c>
      <c r="B89" s="4" t="inlineStr">
        <is>
          <t>2007m4</t>
        </is>
      </c>
      <c r="C89" s="5" t="n">
        <v>101.6334</v>
      </c>
      <c r="D89" s="5" t="n">
        <v>29.4718153573014</v>
      </c>
      <c r="E89" s="5" t="n">
        <v>63.838</v>
      </c>
      <c r="F89" s="5" t="n">
        <v>4.67</v>
      </c>
      <c r="G89" s="5" t="n">
        <v>-0.325733497</v>
      </c>
      <c r="H89" s="5" t="n">
        <v>12.933</v>
      </c>
      <c r="I89" s="5" t="n">
        <v>59.84139351214012</v>
      </c>
      <c r="J89" s="5" t="n">
        <v>75.09999999999999</v>
      </c>
      <c r="K89" s="5" t="n">
        <v>77.761</v>
      </c>
      <c r="L89" s="5" t="n">
        <v>4.662857142857143</v>
      </c>
      <c r="M89" s="5" t="n">
        <v>0.3999999999999995</v>
      </c>
      <c r="N89" s="5" t="n">
        <v>930.952380952381</v>
      </c>
      <c r="O89" s="5" t="n">
        <v>78.80786895751953</v>
      </c>
    </row>
    <row r="90">
      <c r="A90" s="3" t="n">
        <v>39203</v>
      </c>
      <c r="B90" s="4" t="inlineStr">
        <is>
          <t>2007m5</t>
        </is>
      </c>
      <c r="C90" s="5" t="n">
        <v>101.7306</v>
      </c>
      <c r="D90" s="5" t="n">
        <v>29.8268974700399</v>
      </c>
      <c r="E90" s="5" t="n">
        <v>64.54478260869566</v>
      </c>
      <c r="F90" s="5" t="n">
        <v>4.77</v>
      </c>
      <c r="G90" s="5" t="n">
        <v>-0.558807696</v>
      </c>
      <c r="H90" s="5" t="n">
        <v>13.29772727272727</v>
      </c>
      <c r="I90" s="5" t="n">
        <v>71.13732014761729</v>
      </c>
      <c r="J90" s="5" t="n">
        <v>75.5</v>
      </c>
      <c r="K90" s="5" t="n">
        <v>77.836</v>
      </c>
      <c r="L90" s="5" t="n">
        <v>4.610952380952381</v>
      </c>
      <c r="M90" s="5" t="n">
        <v>0.3900000000000006</v>
      </c>
      <c r="N90" s="5" t="n">
        <v>927.3904761904762</v>
      </c>
      <c r="O90" s="5" t="n">
        <v>69.24032592773438</v>
      </c>
    </row>
    <row r="91">
      <c r="A91" s="3" t="n">
        <v>39234</v>
      </c>
      <c r="B91" s="4" t="inlineStr">
        <is>
          <t>2007m6</t>
        </is>
      </c>
      <c r="C91" s="5" t="n">
        <v>101.7893</v>
      </c>
      <c r="D91" s="5" t="n">
        <v>30.1819795827785</v>
      </c>
      <c r="E91" s="5" t="n">
        <v>65.75619047619048</v>
      </c>
      <c r="F91" s="5" t="n">
        <v>4.98</v>
      </c>
      <c r="G91" s="5" t="n">
        <v>-0.348393412</v>
      </c>
      <c r="H91" s="5" t="n">
        <v>14.94761904761905</v>
      </c>
      <c r="I91" s="5" t="n">
        <v>68.75923280644103</v>
      </c>
      <c r="J91" s="5" t="n">
        <v>75.3</v>
      </c>
      <c r="K91" s="5" t="n">
        <v>77.836</v>
      </c>
      <c r="L91" s="5" t="n">
        <v>4.5295</v>
      </c>
      <c r="M91" s="5" t="n">
        <v>0.3999999999999995</v>
      </c>
      <c r="N91" s="5" t="n">
        <v>928.1600000000001</v>
      </c>
      <c r="O91" s="5" t="n">
        <v>74.09075164794922</v>
      </c>
    </row>
    <row r="92">
      <c r="A92" s="3" t="n">
        <v>39264</v>
      </c>
      <c r="B92" s="4" t="inlineStr">
        <is>
          <t>2007m7</t>
        </is>
      </c>
      <c r="C92" s="5" t="n">
        <v>101.6672</v>
      </c>
      <c r="D92" s="5" t="n">
        <v>30.5370616955171</v>
      </c>
      <c r="E92" s="5" t="n">
        <v>69.4590909090909</v>
      </c>
      <c r="F92" s="5" t="n">
        <v>4.82</v>
      </c>
      <c r="G92" s="5" t="n">
        <v>0.060983955</v>
      </c>
      <c r="H92" s="5" t="n">
        <v>17.27333333333333</v>
      </c>
      <c r="I92" s="5" t="n">
        <v>44.782750655359</v>
      </c>
      <c r="J92" s="5" t="n">
        <v>76.59999999999999</v>
      </c>
      <c r="K92" s="5" t="n">
        <v>78.134</v>
      </c>
      <c r="L92" s="5" t="n">
        <v>4.654285714285714</v>
      </c>
      <c r="M92" s="5" t="n">
        <v>0.4000000000000004</v>
      </c>
      <c r="N92" s="5" t="n">
        <v>918.4476190476191</v>
      </c>
      <c r="O92" s="5" t="n">
        <v>37.30658721923828</v>
      </c>
    </row>
    <row r="93">
      <c r="A93" s="3" t="n">
        <v>39295</v>
      </c>
      <c r="B93" s="4" t="inlineStr">
        <is>
          <t>2007m8</t>
        </is>
      </c>
      <c r="C93" s="5" t="n">
        <v>101.863</v>
      </c>
      <c r="D93" s="5" t="n">
        <v>30.8921438082557</v>
      </c>
      <c r="E93" s="5" t="n">
        <v>67.20565217391304</v>
      </c>
      <c r="F93" s="5" t="n">
        <v>4.31</v>
      </c>
      <c r="G93" s="5" t="n">
        <v>0.1674611121877172</v>
      </c>
      <c r="H93" s="5" t="n">
        <v>25.02608695652174</v>
      </c>
      <c r="I93" s="5" t="n">
        <v>90.0072966190591</v>
      </c>
      <c r="J93" s="5" t="n">
        <v>78.09999999999999</v>
      </c>
      <c r="K93" s="5" t="n">
        <v>78.208</v>
      </c>
      <c r="L93" s="5" t="n">
        <v>4.896363636363636</v>
      </c>
      <c r="M93" s="5" t="n">
        <v>0.4199999999999999</v>
      </c>
      <c r="N93" s="5" t="n">
        <v>934.9181818181819</v>
      </c>
      <c r="O93" s="5" t="n">
        <v>80.59307098388672</v>
      </c>
    </row>
    <row r="94">
      <c r="A94" s="3" t="n">
        <v>39326</v>
      </c>
      <c r="B94" s="4" t="inlineStr">
        <is>
          <t>2007m9</t>
        </is>
      </c>
      <c r="C94" s="5" t="n">
        <v>102.0894</v>
      </c>
      <c r="D94" s="5" t="n">
        <v>31.4247669773635</v>
      </c>
      <c r="E94" s="5" t="n">
        <v>73.25399999999999</v>
      </c>
      <c r="F94" s="5" t="n">
        <v>4.01</v>
      </c>
      <c r="G94" s="5" t="n">
        <v>0.1001414645772134</v>
      </c>
      <c r="H94" s="5" t="n">
        <v>22.19894736842106</v>
      </c>
      <c r="I94" s="5" t="n">
        <v>109.8926554644736</v>
      </c>
      <c r="J94" s="5" t="n">
        <v>76.7</v>
      </c>
      <c r="K94" s="5" t="n">
        <v>78.655</v>
      </c>
      <c r="L94" s="5" t="n">
        <v>4.964117647058823</v>
      </c>
      <c r="M94" s="5" t="n">
        <v>0.46</v>
      </c>
      <c r="N94" s="5" t="n">
        <v>930.8941176470589</v>
      </c>
      <c r="O94" s="5" t="n">
        <v>79.57582092285156</v>
      </c>
    </row>
    <row r="95">
      <c r="A95" s="3" t="n">
        <v>39356</v>
      </c>
      <c r="B95" s="4" t="inlineStr">
        <is>
          <t>2007m10</t>
        </is>
      </c>
      <c r="C95" s="5" t="n">
        <v>101.8015</v>
      </c>
      <c r="D95" s="5" t="n">
        <v>31.9573901464714</v>
      </c>
      <c r="E95" s="5" t="n">
        <v>77.14</v>
      </c>
      <c r="F95" s="5" t="n">
        <v>3.97</v>
      </c>
      <c r="G95" s="5" t="n">
        <v>0.018161616</v>
      </c>
      <c r="H95" s="5" t="n">
        <v>19.11565217391304</v>
      </c>
      <c r="I95" s="5" t="n">
        <v>90.64007584792559</v>
      </c>
      <c r="J95" s="5" t="n">
        <v>78.90000000000001</v>
      </c>
      <c r="K95" s="5" t="n">
        <v>78.803</v>
      </c>
      <c r="L95" s="5" t="n">
        <v>5.003636363636364</v>
      </c>
      <c r="M95" s="5" t="n">
        <v>0.5600000000000005</v>
      </c>
      <c r="N95" s="5" t="n">
        <v>914.8136363636364</v>
      </c>
      <c r="O95" s="5" t="n">
        <v>57.74413681030273</v>
      </c>
    </row>
    <row r="96">
      <c r="A96" s="3" t="n">
        <v>39387</v>
      </c>
      <c r="B96" s="4" t="inlineStr">
        <is>
          <t>2007m11</t>
        </is>
      </c>
      <c r="C96" s="5" t="n">
        <v>102.3446</v>
      </c>
      <c r="D96" s="5" t="n">
        <v>32.3124722592099</v>
      </c>
      <c r="E96" s="5" t="n">
        <v>86.73136363636364</v>
      </c>
      <c r="F96" s="5" t="n">
        <v>3.34</v>
      </c>
      <c r="G96" s="5" t="n">
        <v>0.3646134095092272</v>
      </c>
      <c r="H96" s="5" t="n">
        <v>25.58238095238095</v>
      </c>
      <c r="I96" s="5" t="n">
        <v>106.5661652148996</v>
      </c>
      <c r="J96" s="5" t="n">
        <v>78.8</v>
      </c>
      <c r="K96" s="5" t="n">
        <v>78.803</v>
      </c>
      <c r="L96" s="5" t="n">
        <v>5.003636363636364</v>
      </c>
      <c r="M96" s="5" t="n">
        <v>0.6200000000000001</v>
      </c>
      <c r="N96" s="5" t="n">
        <v>918.1090909090909</v>
      </c>
      <c r="O96" s="5" t="n">
        <v>91.98862457275391</v>
      </c>
    </row>
    <row r="97">
      <c r="A97" s="3" t="n">
        <v>39417</v>
      </c>
      <c r="B97" s="4" t="inlineStr">
        <is>
          <t>2007m12</t>
        </is>
      </c>
      <c r="C97" s="5" t="n">
        <v>102.3803</v>
      </c>
      <c r="D97" s="5" t="n">
        <v>32.8450954283178</v>
      </c>
      <c r="E97" s="5" t="n">
        <v>85.75315789473684</v>
      </c>
      <c r="F97" s="5" t="n">
        <v>3.12</v>
      </c>
      <c r="G97" s="5" t="n">
        <v>0.5243990518980826</v>
      </c>
      <c r="H97" s="5" t="n">
        <v>21.651</v>
      </c>
      <c r="I97" s="5" t="n">
        <v>116.9908972085315</v>
      </c>
      <c r="J97" s="5" t="n">
        <v>79.09999999999999</v>
      </c>
      <c r="K97" s="5" t="n">
        <v>79.101</v>
      </c>
      <c r="L97" s="5" t="n">
        <v>4.978947368421053</v>
      </c>
      <c r="M97" s="5" t="n">
        <v>0.8400000000000007</v>
      </c>
      <c r="N97" s="5" t="n">
        <v>930.7611111111112</v>
      </c>
      <c r="O97" s="5" t="n">
        <v>140.6244506835938</v>
      </c>
    </row>
    <row r="98">
      <c r="A98" s="3" t="n">
        <v>39448</v>
      </c>
      <c r="B98" s="4" t="inlineStr">
        <is>
          <t>2008m1</t>
        </is>
      </c>
      <c r="C98" s="5" t="n">
        <v>102.2448</v>
      </c>
      <c r="D98" s="5" t="n">
        <v>33.3777185974257</v>
      </c>
      <c r="E98" s="5" t="n">
        <v>83.92166666666667</v>
      </c>
      <c r="F98" s="5" t="n">
        <v>2.48</v>
      </c>
      <c r="G98" s="5" t="n">
        <v>0.7418803884166958</v>
      </c>
      <c r="H98" s="5" t="n">
        <v>25.81619047619047</v>
      </c>
      <c r="I98" s="5" t="n">
        <v>177.0422066209102</v>
      </c>
      <c r="J98" s="5" t="n">
        <v>79.8</v>
      </c>
      <c r="K98" s="5" t="n">
        <v>79.47199999999999</v>
      </c>
      <c r="L98" s="5" t="n">
        <v>4.986363636363636</v>
      </c>
      <c r="M98" s="5" t="n">
        <v>1.199999999999999</v>
      </c>
      <c r="N98" s="5" t="n">
        <v>942.7227272727273</v>
      </c>
      <c r="O98" s="5" t="n">
        <v>135.0809936523438</v>
      </c>
    </row>
    <row r="99">
      <c r="A99" s="3" t="n">
        <v>39479</v>
      </c>
      <c r="B99" s="4" t="inlineStr">
        <is>
          <t>2008m2</t>
        </is>
      </c>
      <c r="C99" s="5" t="n">
        <v>101.8438</v>
      </c>
      <c r="D99" s="5" t="n">
        <v>33.7328007101642</v>
      </c>
      <c r="E99" s="5" t="n">
        <v>89.96210526315789</v>
      </c>
      <c r="F99" s="5" t="n">
        <v>1.97</v>
      </c>
      <c r="G99" s="5" t="n">
        <v>0.9528094931696178</v>
      </c>
      <c r="H99" s="5" t="n">
        <v>25.456</v>
      </c>
      <c r="I99" s="5" t="n">
        <v>108.3147367453973</v>
      </c>
      <c r="J99" s="5" t="n">
        <v>79.8</v>
      </c>
      <c r="K99" s="5" t="n">
        <v>79.771</v>
      </c>
      <c r="L99" s="5" t="n">
        <v>4.971111111111111</v>
      </c>
      <c r="M99" s="5" t="n">
        <v>1.21</v>
      </c>
      <c r="N99" s="5" t="n">
        <v>944.4222222222221</v>
      </c>
      <c r="O99" s="5" t="n">
        <v>95.59580993652344</v>
      </c>
    </row>
    <row r="100">
      <c r="A100" s="3" t="n">
        <v>39508</v>
      </c>
      <c r="B100" s="4" t="inlineStr">
        <is>
          <t>2008m3</t>
        </is>
      </c>
      <c r="C100" s="5" t="n">
        <v>101.5336</v>
      </c>
      <c r="D100" s="5" t="n">
        <v>34.0878828229028</v>
      </c>
      <c r="E100" s="5" t="n">
        <v>96.77849999999999</v>
      </c>
      <c r="F100" s="5" t="n">
        <v>1.62</v>
      </c>
      <c r="G100" s="5" t="n">
        <v>1.175064911353595</v>
      </c>
      <c r="H100" s="5" t="n">
        <v>27.1035</v>
      </c>
      <c r="I100" s="5" t="n">
        <v>114.4745760620334</v>
      </c>
      <c r="J100" s="5" t="n">
        <v>79.2</v>
      </c>
      <c r="K100" s="5" t="n">
        <v>80.515</v>
      </c>
      <c r="L100" s="5" t="n">
        <v>4.969523809523809</v>
      </c>
      <c r="M100" s="5" t="n">
        <v>0.9799999999999995</v>
      </c>
      <c r="N100" s="5" t="n">
        <v>982.5095238095239</v>
      </c>
      <c r="O100" s="5" t="n">
        <v>87.94452667236328</v>
      </c>
    </row>
    <row r="101">
      <c r="A101" s="3" t="n">
        <v>39539</v>
      </c>
      <c r="B101" s="4" t="inlineStr">
        <is>
          <t>2008m4</t>
        </is>
      </c>
      <c r="C101" s="5" t="n">
        <v>100.8785</v>
      </c>
      <c r="D101" s="5" t="n">
        <v>34.2654238792721</v>
      </c>
      <c r="E101" s="5" t="n">
        <v>103.4686363636364</v>
      </c>
      <c r="F101" s="5" t="n">
        <v>2.05</v>
      </c>
      <c r="G101" s="5" t="n">
        <v>0.6831548460165928</v>
      </c>
      <c r="H101" s="5" t="n">
        <v>21.56272727272727</v>
      </c>
      <c r="I101" s="5" t="n">
        <v>98.19769865208281</v>
      </c>
      <c r="J101" s="5" t="n">
        <v>80</v>
      </c>
      <c r="K101" s="5" t="n">
        <v>80.962</v>
      </c>
      <c r="L101" s="5" t="n">
        <v>4.990476190476191</v>
      </c>
      <c r="M101" s="5" t="n">
        <v>0.9299999999999997</v>
      </c>
      <c r="N101" s="5" t="n">
        <v>987.242857142857</v>
      </c>
      <c r="O101" s="5" t="n">
        <v>74.09506225585938</v>
      </c>
    </row>
    <row r="102">
      <c r="A102" s="3" t="n">
        <v>39569</v>
      </c>
      <c r="B102" s="4" t="inlineStr">
        <is>
          <t>2008m5</t>
        </is>
      </c>
      <c r="C102" s="5" t="n">
        <v>100.2674</v>
      </c>
      <c r="D102" s="5" t="n">
        <v>34.4429649356414</v>
      </c>
      <c r="E102" s="5" t="n">
        <v>118.9486363636364</v>
      </c>
      <c r="F102" s="5" t="n">
        <v>2.45</v>
      </c>
      <c r="G102" s="5" t="n">
        <v>0.6957441944291181</v>
      </c>
      <c r="H102" s="5" t="n">
        <v>18.30333333333333</v>
      </c>
      <c r="I102" s="5" t="n">
        <v>88.67343413142108</v>
      </c>
      <c r="J102" s="5" t="n">
        <v>79.59999999999999</v>
      </c>
      <c r="K102" s="5" t="n">
        <v>81.63</v>
      </c>
      <c r="L102" s="5" t="n">
        <v>4.962105263157895</v>
      </c>
      <c r="M102" s="5" t="n">
        <v>0.9399999999999995</v>
      </c>
      <c r="N102" s="5" t="n">
        <v>1038.210526315789</v>
      </c>
      <c r="O102" s="5" t="n">
        <v>89.21492767333984</v>
      </c>
    </row>
    <row r="103">
      <c r="A103" s="3" t="n">
        <v>39600</v>
      </c>
      <c r="B103" s="4" t="inlineStr">
        <is>
          <t>2008m6</t>
        </is>
      </c>
      <c r="C103" s="5" t="n">
        <v>100.0335</v>
      </c>
      <c r="D103" s="5" t="n">
        <v>34.7980470483799</v>
      </c>
      <c r="E103" s="5" t="n">
        <v>127.5876190476191</v>
      </c>
      <c r="F103" s="5" t="n">
        <v>2.77</v>
      </c>
      <c r="G103" s="5" t="n">
        <v>0.8347469438717048</v>
      </c>
      <c r="H103" s="5" t="n">
        <v>22.11047619047619</v>
      </c>
      <c r="I103" s="5" t="n">
        <v>89.13688332817846</v>
      </c>
      <c r="J103" s="5" t="n">
        <v>78</v>
      </c>
      <c r="K103" s="5" t="n">
        <v>82.151</v>
      </c>
      <c r="L103" s="5" t="n">
        <v>4.884</v>
      </c>
      <c r="M103" s="5" t="n">
        <v>0.9799999999999995</v>
      </c>
      <c r="N103" s="5" t="n">
        <v>1031.065</v>
      </c>
      <c r="O103" s="5" t="n">
        <v>125.87109375</v>
      </c>
    </row>
    <row r="104">
      <c r="A104" s="3" t="n">
        <v>39630</v>
      </c>
      <c r="B104" s="4" t="inlineStr">
        <is>
          <t>2008m7</t>
        </is>
      </c>
      <c r="C104" s="5" t="n">
        <v>99.676</v>
      </c>
      <c r="D104" s="5" t="n">
        <v>34.7980470483799</v>
      </c>
      <c r="E104" s="5" t="n">
        <v>131.2247826086956</v>
      </c>
      <c r="F104" s="5" t="n">
        <v>2.57</v>
      </c>
      <c r="G104" s="5" t="n">
        <v>1.089437971137222</v>
      </c>
      <c r="H104" s="5" t="n">
        <v>24.32136363636364</v>
      </c>
      <c r="I104" s="5" t="n">
        <v>115.1027243056809</v>
      </c>
      <c r="J104" s="5" t="n">
        <v>79.09999999999999</v>
      </c>
      <c r="K104" s="5" t="n">
        <v>82.747</v>
      </c>
      <c r="L104" s="5" t="n">
        <v>4.950869565217391</v>
      </c>
      <c r="M104" s="5" t="n">
        <v>1.03</v>
      </c>
      <c r="N104" s="5" t="n">
        <v>1018.178260869565</v>
      </c>
      <c r="O104" s="5" t="n">
        <v>126.5036239624023</v>
      </c>
    </row>
    <row r="105">
      <c r="A105" s="3" t="n">
        <v>39661</v>
      </c>
      <c r="B105" s="4" t="inlineStr">
        <is>
          <t>2008m8</t>
        </is>
      </c>
      <c r="C105" s="5" t="n">
        <v>98.11109999999999</v>
      </c>
      <c r="D105" s="5" t="n">
        <v>34.7980470483799</v>
      </c>
      <c r="E105" s="5" t="n">
        <v>113.2109523809524</v>
      </c>
      <c r="F105" s="5" t="n">
        <v>2.42</v>
      </c>
      <c r="G105" s="5" t="n">
        <v>1.23918009627279</v>
      </c>
      <c r="H105" s="5" t="n">
        <v>20.69571428571428</v>
      </c>
      <c r="I105" s="5" t="n">
        <v>81.1630782735328</v>
      </c>
      <c r="J105" s="5" t="n">
        <v>79.40000000000001</v>
      </c>
      <c r="K105" s="5" t="n">
        <v>82.598</v>
      </c>
      <c r="L105" s="5" t="n">
        <v>5.197</v>
      </c>
      <c r="M105" s="5" t="n">
        <v>1.340000000000001</v>
      </c>
      <c r="N105" s="5" t="n">
        <v>1047.11</v>
      </c>
      <c r="O105" s="5" t="n">
        <v>110.4811401367188</v>
      </c>
    </row>
    <row r="106">
      <c r="A106" s="3" t="n">
        <v>39692</v>
      </c>
      <c r="B106" s="4" t="inlineStr">
        <is>
          <t>2008m9</t>
        </is>
      </c>
      <c r="C106" s="5" t="n">
        <v>93.7895</v>
      </c>
      <c r="D106" s="5" t="n">
        <v>34.9755881047492</v>
      </c>
      <c r="E106" s="5" t="n">
        <v>95.96954545454545</v>
      </c>
      <c r="F106" s="5" t="n">
        <v>2.08</v>
      </c>
      <c r="G106" s="5" t="n">
        <v>1.784480940629002</v>
      </c>
      <c r="H106" s="5" t="n">
        <v>30.23857142857143</v>
      </c>
      <c r="I106" s="5" t="n">
        <v>238.17187424023</v>
      </c>
      <c r="J106" s="5" t="n">
        <v>78.5</v>
      </c>
      <c r="K106" s="5" t="n">
        <v>82.673</v>
      </c>
      <c r="L106" s="5" t="n">
        <v>5.173809523809524</v>
      </c>
      <c r="M106" s="5" t="n">
        <v>1.65</v>
      </c>
      <c r="N106" s="5" t="n">
        <v>1136.638095238095</v>
      </c>
      <c r="O106" s="5" t="n">
        <v>261.6299133300781</v>
      </c>
    </row>
    <row r="107">
      <c r="A107" s="3" t="n">
        <v>39722</v>
      </c>
      <c r="B107" s="4" t="inlineStr">
        <is>
          <t>2008m10</t>
        </is>
      </c>
      <c r="C107" s="5" t="n">
        <v>94.72190000000001</v>
      </c>
      <c r="D107" s="5" t="n">
        <v>34.6205059920106</v>
      </c>
      <c r="E107" s="5" t="n">
        <v>68.62086956521739</v>
      </c>
      <c r="F107" s="5" t="n">
        <v>1.61</v>
      </c>
      <c r="G107" s="5" t="n">
        <v>3.398308678998867</v>
      </c>
      <c r="H107" s="5" t="n">
        <v>61.17739130434782</v>
      </c>
      <c r="I107" s="5" t="n">
        <v>241.7722778211416</v>
      </c>
      <c r="J107" s="5" t="n">
        <v>78.3</v>
      </c>
      <c r="K107" s="5" t="n">
        <v>82.598</v>
      </c>
      <c r="L107" s="5" t="n">
        <v>4.843636363636364</v>
      </c>
      <c r="M107" s="5" t="n">
        <v>2.86</v>
      </c>
      <c r="N107" s="5" t="n">
        <v>1326.854545454545</v>
      </c>
      <c r="O107" s="5" t="n">
        <v>209.3003845214844</v>
      </c>
    </row>
    <row r="108">
      <c r="A108" s="3" t="n">
        <v>39753</v>
      </c>
      <c r="B108" s="4" t="inlineStr">
        <is>
          <t>2008m11</t>
        </is>
      </c>
      <c r="C108" s="5" t="n">
        <v>93.47150000000001</v>
      </c>
      <c r="D108" s="5" t="n">
        <v>34.2654238792721</v>
      </c>
      <c r="E108" s="5" t="n">
        <v>51.38350000000001</v>
      </c>
      <c r="F108" s="5" t="n">
        <v>1.21</v>
      </c>
      <c r="G108" s="5" t="n">
        <v>3.111167348441283</v>
      </c>
      <c r="H108" s="5" t="n">
        <v>62.66894736842105</v>
      </c>
      <c r="I108" s="5" t="n">
        <v>162.7133840241427</v>
      </c>
      <c r="J108" s="5" t="n">
        <v>75.09999999999999</v>
      </c>
      <c r="K108" s="5" t="n">
        <v>82.375</v>
      </c>
      <c r="L108" s="5" t="n">
        <v>3.998</v>
      </c>
      <c r="M108" s="5" t="n">
        <v>3.590000000000001</v>
      </c>
      <c r="N108" s="5" t="n">
        <v>1400.805</v>
      </c>
      <c r="O108" s="5" t="n">
        <v>207.4794616699219</v>
      </c>
    </row>
    <row r="109">
      <c r="A109" s="3" t="n">
        <v>39783</v>
      </c>
      <c r="B109" s="4" t="inlineStr">
        <is>
          <t>2008m12</t>
        </is>
      </c>
      <c r="C109" s="5" t="n">
        <v>90.8357</v>
      </c>
      <c r="D109" s="5" t="n">
        <v>34.7980470483799</v>
      </c>
      <c r="E109" s="5" t="n">
        <v>40.99681818181818</v>
      </c>
      <c r="F109" s="5" t="n">
        <v>0.82</v>
      </c>
      <c r="G109" s="5" t="n">
        <v>3.315378438404847</v>
      </c>
      <c r="H109" s="5" t="n">
        <v>52.405</v>
      </c>
      <c r="I109" s="5" t="n">
        <v>157.8286770269661</v>
      </c>
      <c r="J109" s="5" t="n">
        <v>71.8</v>
      </c>
      <c r="K109" s="5" t="n">
        <v>82.375</v>
      </c>
      <c r="L109" s="5" t="n">
        <v>3.207727272727273</v>
      </c>
      <c r="M109" s="5" t="n">
        <v>4.379999999999999</v>
      </c>
      <c r="N109" s="5" t="n">
        <v>1368.795238095238</v>
      </c>
      <c r="O109" s="5" t="n">
        <v>165.2947540283203</v>
      </c>
    </row>
    <row r="110">
      <c r="A110" s="3" t="n">
        <v>39814</v>
      </c>
      <c r="B110" s="4" t="inlineStr">
        <is>
          <t>2009m1</t>
        </is>
      </c>
      <c r="C110" s="5" t="n">
        <v>88.56999999999999</v>
      </c>
      <c r="D110" s="5" t="n">
        <v>34.6205059920106</v>
      </c>
      <c r="E110" s="5" t="n">
        <v>44.96714285714285</v>
      </c>
      <c r="F110" s="5" t="n">
        <v>0.8100000000000001</v>
      </c>
      <c r="G110" s="5" t="n">
        <v>2.806551501135949</v>
      </c>
      <c r="H110" s="5" t="n">
        <v>44.683</v>
      </c>
      <c r="I110" s="5" t="n">
        <v>184.8178304010666</v>
      </c>
      <c r="J110" s="5" t="n">
        <v>73.8</v>
      </c>
      <c r="K110" s="5" t="n">
        <v>82.45</v>
      </c>
      <c r="L110" s="5" t="n">
        <v>2.399473684210526</v>
      </c>
      <c r="M110" s="5" t="n">
        <v>3.9</v>
      </c>
      <c r="N110" s="5" t="n">
        <v>1354.684210526316</v>
      </c>
      <c r="O110" s="5" t="n">
        <v>201.6344604492188</v>
      </c>
    </row>
    <row r="111">
      <c r="A111" s="3" t="n">
        <v>39845</v>
      </c>
      <c r="B111" s="4" t="inlineStr">
        <is>
          <t>2009m2</t>
        </is>
      </c>
      <c r="C111" s="5" t="n">
        <v>88.03100000000001</v>
      </c>
      <c r="D111" s="5" t="n">
        <v>34.9755881047492</v>
      </c>
      <c r="E111" s="5" t="n">
        <v>43.138</v>
      </c>
      <c r="F111" s="5" t="n">
        <v>0.98</v>
      </c>
      <c r="G111" s="5" t="n">
        <v>3.19747330439518</v>
      </c>
      <c r="H111" s="5" t="n">
        <v>45.57052631578947</v>
      </c>
      <c r="I111" s="5" t="n">
        <v>202.5479667302063</v>
      </c>
      <c r="J111" s="5" t="n">
        <v>76</v>
      </c>
      <c r="K111" s="5" t="n">
        <v>83.045</v>
      </c>
      <c r="L111" s="5" t="n">
        <v>1.982</v>
      </c>
      <c r="M111" s="5" t="n">
        <v>3.29</v>
      </c>
      <c r="N111" s="5" t="n">
        <v>1440.185</v>
      </c>
      <c r="O111" s="5" t="n">
        <v>157.9299163818359</v>
      </c>
    </row>
    <row r="112">
      <c r="A112" s="3" t="n">
        <v>39873</v>
      </c>
      <c r="B112" s="4" t="inlineStr">
        <is>
          <t>2009m3</t>
        </is>
      </c>
      <c r="C112" s="5" t="n">
        <v>86.6528</v>
      </c>
      <c r="D112" s="5" t="n">
        <v>36.5734576120728</v>
      </c>
      <c r="E112" s="5" t="n">
        <v>45.57590909090909</v>
      </c>
      <c r="F112" s="5" t="n">
        <v>0.93</v>
      </c>
      <c r="G112" s="5" t="n">
        <v>2.765120691907343</v>
      </c>
      <c r="H112" s="5" t="n">
        <v>44.79545454545455</v>
      </c>
      <c r="I112" s="5" t="n">
        <v>167.9912194426288</v>
      </c>
      <c r="J112" s="5" t="n">
        <v>75.8</v>
      </c>
      <c r="K112" s="5" t="n">
        <v>83.64</v>
      </c>
      <c r="L112" s="5" t="n">
        <v>1.756363636363636</v>
      </c>
      <c r="M112" s="5" t="n">
        <v>2.45</v>
      </c>
      <c r="N112" s="5" t="n">
        <v>1453.35</v>
      </c>
      <c r="O112" s="5" t="n">
        <v>120.7048034667969</v>
      </c>
    </row>
    <row r="113">
      <c r="A113" s="3" t="n">
        <v>39904</v>
      </c>
      <c r="B113" s="4" t="inlineStr">
        <is>
          <t>2009m4</t>
        </is>
      </c>
      <c r="C113" s="5" t="n">
        <v>85.9344</v>
      </c>
      <c r="D113" s="5" t="n">
        <v>36.7509986684421</v>
      </c>
      <c r="E113" s="5" t="n">
        <v>50.18</v>
      </c>
      <c r="F113" s="5" t="n">
        <v>0.93</v>
      </c>
      <c r="G113" s="5" t="n">
        <v>2.268633339623964</v>
      </c>
      <c r="H113" s="5" t="n">
        <v>38.06380952380952</v>
      </c>
      <c r="I113" s="5" t="n">
        <v>107.9272480066269</v>
      </c>
      <c r="J113" s="5" t="n">
        <v>78.5</v>
      </c>
      <c r="K113" s="5" t="n">
        <v>83.86199999999999</v>
      </c>
      <c r="L113" s="5" t="n">
        <v>1.757272727272728</v>
      </c>
      <c r="M113" s="5" t="n">
        <v>1.92</v>
      </c>
      <c r="N113" s="5" t="n">
        <v>1336.277272727273</v>
      </c>
      <c r="O113" s="5" t="n">
        <v>111.4927673339844</v>
      </c>
    </row>
    <row r="114">
      <c r="A114" s="3" t="n">
        <v>39934</v>
      </c>
      <c r="B114" s="4" t="inlineStr">
        <is>
          <t>2009m5</t>
        </is>
      </c>
      <c r="C114" s="5" t="n">
        <v>85.0665</v>
      </c>
      <c r="D114" s="5" t="n">
        <v>37.4611628939192</v>
      </c>
      <c r="E114" s="5" t="n">
        <v>57.39571428571428</v>
      </c>
      <c r="F114" s="5" t="n">
        <v>0.93</v>
      </c>
      <c r="G114" s="5" t="n">
        <v>1.372162366524383</v>
      </c>
      <c r="H114" s="5" t="n">
        <v>31.978</v>
      </c>
      <c r="I114" s="5" t="n">
        <v>125.9446212832264</v>
      </c>
      <c r="J114" s="5" t="n">
        <v>77.90000000000001</v>
      </c>
      <c r="K114" s="5" t="n">
        <v>83.86199999999999</v>
      </c>
      <c r="L114" s="5" t="n">
        <v>1.895263157894737</v>
      </c>
      <c r="M114" s="5" t="n">
        <v>1.33</v>
      </c>
      <c r="N114" s="5" t="n">
        <v>1255.621052631579</v>
      </c>
      <c r="O114" s="5" t="n">
        <v>143.1172180175781</v>
      </c>
    </row>
    <row r="115">
      <c r="A115" s="3" t="n">
        <v>39965</v>
      </c>
      <c r="B115" s="4" t="inlineStr">
        <is>
          <t>2009m6</t>
        </is>
      </c>
      <c r="C115" s="5" t="n">
        <v>84.74590000000001</v>
      </c>
      <c r="D115" s="5" t="n">
        <v>38.3488681757656</v>
      </c>
      <c r="E115" s="5" t="n">
        <v>69.2109090909091</v>
      </c>
      <c r="F115" s="5" t="n">
        <v>1.18</v>
      </c>
      <c r="G115" s="5" t="n">
        <v>0.938560468</v>
      </c>
      <c r="H115" s="5" t="n">
        <v>29.14045454545455</v>
      </c>
      <c r="I115" s="5" t="n">
        <v>112.4726351321039</v>
      </c>
      <c r="J115" s="5" t="n">
        <v>79.8</v>
      </c>
      <c r="K115" s="5" t="n">
        <v>83.788</v>
      </c>
      <c r="L115" s="5" t="n">
        <v>1.929090909090909</v>
      </c>
      <c r="M115" s="5" t="n">
        <v>1.12</v>
      </c>
      <c r="N115" s="5" t="n">
        <v>1262.281818181818</v>
      </c>
      <c r="O115" s="5" t="n">
        <v>174.2291107177734</v>
      </c>
    </row>
    <row r="116">
      <c r="A116" s="3" t="n">
        <v>39995</v>
      </c>
      <c r="B116" s="4" t="inlineStr">
        <is>
          <t>2009m7</t>
        </is>
      </c>
      <c r="C116" s="5" t="n">
        <v>85.70269999999999</v>
      </c>
      <c r="D116" s="5" t="n">
        <v>38.7039502885042</v>
      </c>
      <c r="E116" s="5" t="n">
        <v>64.96956521739131</v>
      </c>
      <c r="F116" s="5" t="n">
        <v>1.02</v>
      </c>
      <c r="G116" s="5" t="n">
        <v>0.3340894618648962</v>
      </c>
      <c r="H116" s="5" t="n">
        <v>26.16272727272727</v>
      </c>
      <c r="I116" s="5" t="n">
        <v>104.355107099051</v>
      </c>
      <c r="J116" s="5" t="n">
        <v>79.8</v>
      </c>
      <c r="K116" s="5" t="n">
        <v>84.086</v>
      </c>
      <c r="L116" s="5" t="n">
        <v>1.932173913043478</v>
      </c>
      <c r="M116" s="5" t="n">
        <v>1.37</v>
      </c>
      <c r="N116" s="5" t="n">
        <v>1261.95652173913</v>
      </c>
      <c r="O116" s="5" t="n">
        <v>206.6637115478516</v>
      </c>
    </row>
    <row r="117">
      <c r="A117" s="3" t="n">
        <v>40026</v>
      </c>
      <c r="B117" s="4" t="inlineStr">
        <is>
          <t>2009m8</t>
        </is>
      </c>
      <c r="C117" s="5" t="n">
        <v>86.6426</v>
      </c>
      <c r="D117" s="5" t="n">
        <v>39.2365734576121</v>
      </c>
      <c r="E117" s="5" t="n">
        <v>71.32428571428571</v>
      </c>
      <c r="F117" s="5" t="n">
        <v>1.12</v>
      </c>
      <c r="G117" s="5" t="n">
        <v>0.067151635</v>
      </c>
      <c r="H117" s="5" t="n">
        <v>25.33714285714286</v>
      </c>
      <c r="I117" s="5" t="n">
        <v>111.1743394482835</v>
      </c>
      <c r="J117" s="5" t="n">
        <v>80.2</v>
      </c>
      <c r="K117" s="5" t="n">
        <v>84.384</v>
      </c>
      <c r="L117" s="5" t="n">
        <v>1.977142857142857</v>
      </c>
      <c r="M117" s="5" t="n">
        <v>1.32</v>
      </c>
      <c r="N117" s="5" t="n">
        <v>1239.690476190476</v>
      </c>
      <c r="O117" s="5" t="n">
        <v>103.1876831054688</v>
      </c>
    </row>
    <row r="118">
      <c r="A118" s="3" t="n">
        <v>40057</v>
      </c>
      <c r="B118" s="4" t="inlineStr">
        <is>
          <t>2009m9</t>
        </is>
      </c>
      <c r="C118" s="5" t="n">
        <v>87.4063</v>
      </c>
      <c r="D118" s="5" t="n">
        <v>39.7691966267199</v>
      </c>
      <c r="E118" s="5" t="n">
        <v>67.90818181818182</v>
      </c>
      <c r="F118" s="5" t="n">
        <v>0.96</v>
      </c>
      <c r="G118" s="5" t="n">
        <v>0.072318327</v>
      </c>
      <c r="H118" s="5" t="n">
        <v>24.92666666666667</v>
      </c>
      <c r="I118" s="5" t="n">
        <v>99.00963605868142</v>
      </c>
      <c r="J118" s="5" t="n">
        <v>82.09999999999999</v>
      </c>
      <c r="K118" s="5" t="n">
        <v>84.459</v>
      </c>
      <c r="L118" s="5" t="n">
        <v>1.967727272727273</v>
      </c>
      <c r="M118" s="5" t="n">
        <v>1.18</v>
      </c>
      <c r="N118" s="5" t="n">
        <v>1214.995454545455</v>
      </c>
      <c r="O118" s="5" t="n">
        <v>128.3226318359375</v>
      </c>
    </row>
    <row r="119">
      <c r="A119" s="3" t="n">
        <v>40087</v>
      </c>
      <c r="B119" s="4" t="inlineStr">
        <is>
          <t>2009m10</t>
        </is>
      </c>
      <c r="C119" s="5" t="n">
        <v>87.64190000000001</v>
      </c>
      <c r="D119" s="5" t="n">
        <v>40.4793608521971</v>
      </c>
      <c r="E119" s="5" t="n">
        <v>73.27545454545454</v>
      </c>
      <c r="F119" s="5" t="n">
        <v>0.95</v>
      </c>
      <c r="G119" s="5" t="n">
        <v>-0.131844665</v>
      </c>
      <c r="H119" s="5" t="n">
        <v>24.25227272727273</v>
      </c>
      <c r="I119" s="5" t="n">
        <v>86.24175958283952</v>
      </c>
      <c r="J119" s="5" t="n">
        <v>81.3</v>
      </c>
      <c r="K119" s="5" t="n">
        <v>84.235</v>
      </c>
      <c r="L119" s="5" t="n">
        <v>1.995714285714286</v>
      </c>
      <c r="M119" s="5" t="n">
        <v>1.13</v>
      </c>
      <c r="N119" s="5" t="n">
        <v>1174.795238095238</v>
      </c>
      <c r="O119" s="5" t="n">
        <v>115.0917892456055</v>
      </c>
    </row>
    <row r="120">
      <c r="A120" s="3" t="n">
        <v>40118</v>
      </c>
      <c r="B120" s="4" t="inlineStr">
        <is>
          <t>2009m11</t>
        </is>
      </c>
      <c r="C120" s="5" t="n">
        <v>88.02209999999999</v>
      </c>
      <c r="D120" s="5" t="n">
        <v>41.0119840213049</v>
      </c>
      <c r="E120" s="5" t="n">
        <v>77.6252380952381</v>
      </c>
      <c r="F120" s="5" t="n">
        <v>0.8</v>
      </c>
      <c r="G120" s="5" t="n">
        <v>0.007396902</v>
      </c>
      <c r="H120" s="5" t="n">
        <v>23.789</v>
      </c>
      <c r="I120" s="5" t="n">
        <v>99.77926919298855</v>
      </c>
      <c r="J120" s="5" t="n">
        <v>81.5</v>
      </c>
      <c r="K120" s="5" t="n">
        <v>84.384</v>
      </c>
      <c r="L120" s="5" t="n">
        <v>2</v>
      </c>
      <c r="M120" s="5" t="n">
        <v>1.109999999999999</v>
      </c>
      <c r="N120" s="5" t="n">
        <v>1163.180952380952</v>
      </c>
      <c r="O120" s="5" t="n">
        <v>150.3728179931641</v>
      </c>
    </row>
    <row r="121">
      <c r="A121" s="3" t="n">
        <v>40148</v>
      </c>
      <c r="B121" s="4" t="inlineStr">
        <is>
          <t>2009m12</t>
        </is>
      </c>
      <c r="C121" s="5" t="n">
        <v>88.3793</v>
      </c>
      <c r="D121" s="5" t="n">
        <v>41.3670661340435</v>
      </c>
      <c r="E121" s="5" t="n">
        <v>75.48863636363636</v>
      </c>
      <c r="F121" s="5" t="n">
        <v>0.87</v>
      </c>
      <c r="G121" s="5" t="n">
        <v>-0.476466519</v>
      </c>
      <c r="H121" s="5" t="n">
        <v>21.23954545454545</v>
      </c>
      <c r="I121" s="5" t="n">
        <v>108.3960871457085</v>
      </c>
      <c r="J121" s="5" t="n">
        <v>82.3</v>
      </c>
      <c r="K121" s="5" t="n">
        <v>84.682</v>
      </c>
      <c r="L121" s="5" t="n">
        <v>1.997272727272727</v>
      </c>
      <c r="M121" s="5" t="n">
        <v>1.109999999999999</v>
      </c>
      <c r="N121" s="5" t="n">
        <v>1166.128571428571</v>
      </c>
      <c r="O121" s="5" t="n">
        <v>152.2534790039062</v>
      </c>
    </row>
    <row r="122">
      <c r="A122" s="3" t="n">
        <v>40179</v>
      </c>
      <c r="B122" s="4" t="inlineStr">
        <is>
          <t>2010m1</t>
        </is>
      </c>
      <c r="C122" s="5" t="n">
        <v>89.3426</v>
      </c>
      <c r="D122" s="5" t="n">
        <v>41.8996893031514</v>
      </c>
      <c r="E122" s="5" t="n">
        <v>76.63500000000001</v>
      </c>
      <c r="F122" s="5" t="n">
        <v>0.93</v>
      </c>
      <c r="G122" s="5" t="n">
        <v>-0.181661927</v>
      </c>
      <c r="H122" s="5" t="n">
        <v>20.64315789473685</v>
      </c>
      <c r="I122" s="5" t="n">
        <v>136.8638567524851</v>
      </c>
      <c r="J122" s="5" t="n">
        <v>82</v>
      </c>
      <c r="K122" s="5" t="n">
        <v>85.351</v>
      </c>
      <c r="L122" s="5" t="n">
        <v>1.9945</v>
      </c>
      <c r="M122" s="5" t="n">
        <v>1.11</v>
      </c>
      <c r="N122" s="5" t="n">
        <v>1138.77</v>
      </c>
      <c r="O122" s="5" t="n">
        <v>170.9788513183594</v>
      </c>
    </row>
    <row r="123">
      <c r="A123" s="3" t="n">
        <v>40210</v>
      </c>
      <c r="B123" s="4" t="inlineStr">
        <is>
          <t>2010m2</t>
        </is>
      </c>
      <c r="C123" s="5" t="n">
        <v>89.67789999999999</v>
      </c>
      <c r="D123" s="5" t="n">
        <v>42.2547714158899</v>
      </c>
      <c r="E123" s="5" t="n">
        <v>73.5638888888889</v>
      </c>
      <c r="F123" s="5" t="n">
        <v>0.86</v>
      </c>
      <c r="G123" s="5" t="n">
        <v>0.018033531</v>
      </c>
      <c r="H123" s="5" t="n">
        <v>22.54</v>
      </c>
      <c r="I123" s="5" t="n">
        <v>116.7215570927467</v>
      </c>
      <c r="J123" s="5" t="n">
        <v>84.2</v>
      </c>
      <c r="K123" s="5" t="n">
        <v>85.523</v>
      </c>
      <c r="L123" s="5" t="n">
        <v>1.993157894736842</v>
      </c>
      <c r="M123" s="5" t="n">
        <v>1.13</v>
      </c>
      <c r="N123" s="5" t="n">
        <v>1156.831578947368</v>
      </c>
      <c r="O123" s="5" t="n">
        <v>142.2926177978516</v>
      </c>
    </row>
    <row r="124">
      <c r="A124" s="3" t="n">
        <v>40238</v>
      </c>
      <c r="B124" s="4" t="inlineStr">
        <is>
          <t>2010m3</t>
        </is>
      </c>
      <c r="C124" s="5" t="n">
        <v>90.2928</v>
      </c>
      <c r="D124" s="5" t="n">
        <v>42.7873945849978</v>
      </c>
      <c r="E124" s="5" t="n">
        <v>77.36782608695653</v>
      </c>
      <c r="F124" s="5" t="n">
        <v>0.96</v>
      </c>
      <c r="G124" s="5" t="n">
        <v>-0.141237573</v>
      </c>
      <c r="H124" s="5" t="n">
        <v>17.76739130434783</v>
      </c>
      <c r="I124" s="5" t="n">
        <v>124.6875088805315</v>
      </c>
      <c r="J124" s="5" t="n">
        <v>84.5</v>
      </c>
      <c r="K124" s="5" t="n">
        <v>85.696</v>
      </c>
      <c r="L124" s="5" t="n">
        <v>2.004545454545454</v>
      </c>
      <c r="M124" s="5" t="n">
        <v>1.08</v>
      </c>
      <c r="N124" s="5" t="n">
        <v>1136.113636363636</v>
      </c>
      <c r="O124" s="5" t="n">
        <v>114.6579208374023</v>
      </c>
    </row>
    <row r="125">
      <c r="A125" s="3" t="n">
        <v>40269</v>
      </c>
      <c r="B125" s="4" t="inlineStr">
        <is>
          <t>2010m4</t>
        </is>
      </c>
      <c r="C125" s="5" t="n">
        <v>90.59910000000001</v>
      </c>
      <c r="D125" s="5" t="n">
        <v>43.3200177541056</v>
      </c>
      <c r="E125" s="5" t="n">
        <v>83.09238095238095</v>
      </c>
      <c r="F125" s="5" t="n">
        <v>1.06</v>
      </c>
      <c r="G125" s="5" t="n">
        <v>-0.257657877</v>
      </c>
      <c r="H125" s="5" t="n">
        <v>17.42428571428572</v>
      </c>
      <c r="I125" s="5" t="n">
        <v>123.7022048675256</v>
      </c>
      <c r="J125" s="5" t="n">
        <v>84</v>
      </c>
      <c r="K125" s="5" t="n">
        <v>86.041</v>
      </c>
      <c r="L125" s="5" t="n">
        <v>2.002727272727273</v>
      </c>
      <c r="M125" s="5" t="n">
        <v>0.9200000000000004</v>
      </c>
      <c r="N125" s="5" t="n">
        <v>1115.713636363636</v>
      </c>
      <c r="O125" s="5" t="n">
        <v>138.2570648193359</v>
      </c>
    </row>
    <row r="126">
      <c r="A126" s="3" t="n">
        <v>40299</v>
      </c>
      <c r="B126" s="4" t="inlineStr">
        <is>
          <t>2010m5</t>
        </is>
      </c>
      <c r="C126" s="5" t="n">
        <v>91.82299999999999</v>
      </c>
      <c r="D126" s="5" t="n">
        <v>43.6750998668442</v>
      </c>
      <c r="E126" s="5" t="n">
        <v>76.62</v>
      </c>
      <c r="F126" s="5" t="n">
        <v>0.83</v>
      </c>
      <c r="G126" s="5" t="n">
        <v>-0.117689887</v>
      </c>
      <c r="H126" s="5" t="n">
        <v>31.9295</v>
      </c>
      <c r="I126" s="5" t="n">
        <v>147.7632571041711</v>
      </c>
      <c r="J126" s="5" t="n">
        <v>85.40000000000001</v>
      </c>
      <c r="K126" s="5" t="n">
        <v>86.128</v>
      </c>
      <c r="L126" s="5" t="n">
        <v>2.010526315789473</v>
      </c>
      <c r="M126" s="5" t="n">
        <v>0.7800000000000002</v>
      </c>
      <c r="N126" s="5" t="n">
        <v>1168.405263157895</v>
      </c>
      <c r="O126" s="5" t="n">
        <v>147.4567108154297</v>
      </c>
    </row>
    <row r="127">
      <c r="A127" s="3" t="n">
        <v>40330</v>
      </c>
      <c r="B127" s="4" t="inlineStr">
        <is>
          <t>2010m6</t>
        </is>
      </c>
      <c r="C127" s="5" t="n">
        <v>91.9928</v>
      </c>
      <c r="D127" s="5" t="n">
        <v>43.6750998668442</v>
      </c>
      <c r="E127" s="5" t="n">
        <v>73.98318181818182</v>
      </c>
      <c r="F127" s="5" t="n">
        <v>0.72</v>
      </c>
      <c r="G127" s="5" t="n">
        <v>0.064172742</v>
      </c>
      <c r="H127" s="5" t="n">
        <v>29.91636363636363</v>
      </c>
      <c r="I127" s="5" t="n">
        <v>129.7321982585258</v>
      </c>
      <c r="J127" s="5" t="n">
        <v>85.40000000000001</v>
      </c>
      <c r="K127" s="5" t="n">
        <v>86.041</v>
      </c>
      <c r="L127" s="5" t="n">
        <v>1.998095238095238</v>
      </c>
      <c r="M127" s="5" t="n">
        <v>0.9000000000000004</v>
      </c>
      <c r="N127" s="5" t="n">
        <v>1214.019047619048</v>
      </c>
      <c r="O127" s="5" t="n">
        <v>152.0056610107422</v>
      </c>
    </row>
    <row r="128">
      <c r="A128" s="3" t="n">
        <v>40360</v>
      </c>
      <c r="B128" s="4" t="inlineStr">
        <is>
          <t>2010m7</t>
        </is>
      </c>
      <c r="C128" s="5" t="n">
        <v>92.3421</v>
      </c>
      <c r="D128" s="5" t="n">
        <v>44.0301819795828</v>
      </c>
      <c r="E128" s="5" t="n">
        <v>72.65227272727272</v>
      </c>
      <c r="F128" s="5" t="n">
        <v>0.62</v>
      </c>
      <c r="G128" s="5" t="n">
        <v>0.2012161986708096</v>
      </c>
      <c r="H128" s="5" t="n">
        <v>25.56523809523809</v>
      </c>
      <c r="I128" s="5" t="n">
        <v>196.947246910094</v>
      </c>
      <c r="J128" s="5" t="n">
        <v>84.8</v>
      </c>
      <c r="K128" s="5" t="n">
        <v>86.214</v>
      </c>
      <c r="L128" s="5" t="n">
        <v>2.198636363636364</v>
      </c>
      <c r="M128" s="5" t="n">
        <v>0.9299999999999997</v>
      </c>
      <c r="N128" s="5" t="n">
        <v>1204.940909090909</v>
      </c>
      <c r="O128" s="5" t="n">
        <v>119.2075424194336</v>
      </c>
    </row>
    <row r="129">
      <c r="A129" s="3" t="n">
        <v>40391</v>
      </c>
      <c r="B129" s="4" t="inlineStr">
        <is>
          <t>2010m8</t>
        </is>
      </c>
      <c r="C129" s="5" t="n">
        <v>92.68049999999999</v>
      </c>
      <c r="D129" s="5" t="n">
        <v>44.7403462050599</v>
      </c>
      <c r="E129" s="5" t="n">
        <v>74.345</v>
      </c>
      <c r="F129" s="5" t="n">
        <v>0.52</v>
      </c>
      <c r="G129" s="5" t="n">
        <v>-0.268385905</v>
      </c>
      <c r="H129" s="5" t="n">
        <v>24.74590909090909</v>
      </c>
      <c r="I129" s="5" t="n">
        <v>127.228173207006</v>
      </c>
      <c r="J129" s="5" t="n">
        <v>84.3</v>
      </c>
      <c r="K129" s="5" t="n">
        <v>86.64700000000001</v>
      </c>
      <c r="L129" s="5" t="n">
        <v>2.275909090909091</v>
      </c>
      <c r="M129" s="5" t="n">
        <v>0.9499999999999997</v>
      </c>
      <c r="N129" s="5" t="n">
        <v>1180.045454545455</v>
      </c>
      <c r="O129" s="5" t="n">
        <v>140.9466552734375</v>
      </c>
    </row>
    <row r="130">
      <c r="A130" s="3" t="n">
        <v>40422</v>
      </c>
      <c r="B130" s="4" t="inlineStr">
        <is>
          <t>2010m9</t>
        </is>
      </c>
      <c r="C130" s="5" t="n">
        <v>92.9537</v>
      </c>
      <c r="D130" s="5" t="n">
        <v>45.0954283177985</v>
      </c>
      <c r="E130" s="5" t="n">
        <v>75.28636363636363</v>
      </c>
      <c r="F130" s="5" t="n">
        <v>0.48</v>
      </c>
      <c r="G130" s="5" t="n">
        <v>0.024816242</v>
      </c>
      <c r="H130" s="5" t="n">
        <v>22.51761904761905</v>
      </c>
      <c r="I130" s="5" t="n">
        <v>186.7412480742999</v>
      </c>
      <c r="J130" s="5" t="n">
        <v>84.2</v>
      </c>
      <c r="K130" s="5" t="n">
        <v>87.337</v>
      </c>
      <c r="L130" s="5" t="n">
        <v>2.271052631578947</v>
      </c>
      <c r="M130" s="5" t="n">
        <v>0.9300000000000002</v>
      </c>
      <c r="N130" s="5" t="n">
        <v>1162.936842105263</v>
      </c>
      <c r="O130" s="5" t="n">
        <v>170.0675048828125</v>
      </c>
    </row>
    <row r="131">
      <c r="A131" s="3" t="n">
        <v>40452</v>
      </c>
      <c r="B131" s="4" t="inlineStr">
        <is>
          <t>2010m10</t>
        </is>
      </c>
      <c r="C131" s="5" t="n">
        <v>92.69029999999999</v>
      </c>
      <c r="D131" s="5" t="n">
        <v>45.8055925432756</v>
      </c>
      <c r="E131" s="5" t="n">
        <v>80.3404761904762</v>
      </c>
      <c r="F131" s="5" t="n">
        <v>0.38</v>
      </c>
      <c r="G131" s="5" t="n">
        <v>0.027921408</v>
      </c>
      <c r="H131" s="5" t="n">
        <v>20.37333333333333</v>
      </c>
      <c r="I131" s="5" t="n">
        <v>154.7627408733889</v>
      </c>
      <c r="J131" s="5" t="n">
        <v>84.7</v>
      </c>
      <c r="K131" s="5" t="n">
        <v>87.337</v>
      </c>
      <c r="L131" s="5" t="n">
        <v>2.258095238095238</v>
      </c>
      <c r="M131" s="5" t="n">
        <v>0.8899999999999997</v>
      </c>
      <c r="N131" s="5" t="n">
        <v>1122.233333333333</v>
      </c>
      <c r="O131" s="5" t="n">
        <v>165.4726409912109</v>
      </c>
    </row>
    <row r="132">
      <c r="A132" s="3" t="n">
        <v>40483</v>
      </c>
      <c r="B132" s="4" t="inlineStr">
        <is>
          <t>2010m11</t>
        </is>
      </c>
      <c r="C132" s="5" t="n">
        <v>92.7709</v>
      </c>
      <c r="D132" s="5" t="n">
        <v>46.3382157123835</v>
      </c>
      <c r="E132" s="5" t="n">
        <v>83.696</v>
      </c>
      <c r="F132" s="5" t="n">
        <v>0.45</v>
      </c>
      <c r="G132" s="5" t="n">
        <v>-0.105878179</v>
      </c>
      <c r="H132" s="5" t="n">
        <v>20.09571428571429</v>
      </c>
      <c r="I132" s="5" t="n">
        <v>175.0442836037294</v>
      </c>
      <c r="J132" s="5" t="n">
        <v>85.09999999999999</v>
      </c>
      <c r="K132" s="5" t="n">
        <v>86.90600000000001</v>
      </c>
      <c r="L132" s="5" t="n">
        <v>2.375</v>
      </c>
      <c r="M132" s="5" t="n">
        <v>0.7900000000000005</v>
      </c>
      <c r="N132" s="5" t="n">
        <v>1128.077272727273</v>
      </c>
      <c r="O132" s="5" t="n">
        <v>167.0720977783203</v>
      </c>
    </row>
    <row r="133">
      <c r="A133" s="3" t="n">
        <v>40513</v>
      </c>
      <c r="B133" s="4" t="inlineStr">
        <is>
          <t>2010m12</t>
        </is>
      </c>
      <c r="C133" s="5" t="n">
        <v>93.67870000000001</v>
      </c>
      <c r="D133" s="5" t="n">
        <v>46.8708388814913</v>
      </c>
      <c r="E133" s="5" t="n">
        <v>89.07454545454544</v>
      </c>
      <c r="F133" s="5" t="n">
        <v>0.62</v>
      </c>
      <c r="G133" s="5" t="n">
        <v>-0.392207718</v>
      </c>
      <c r="H133" s="5" t="n">
        <v>17.56954545454545</v>
      </c>
      <c r="I133" s="5" t="n">
        <v>151.5533295343271</v>
      </c>
      <c r="J133" s="5" t="n">
        <v>86.09999999999999</v>
      </c>
      <c r="K133" s="5" t="n">
        <v>87.251</v>
      </c>
      <c r="L133" s="5" t="n">
        <v>2.502173913043478</v>
      </c>
      <c r="M133" s="5" t="n">
        <v>0.9199999999999999</v>
      </c>
      <c r="N133" s="5" t="n">
        <v>1146.227272727273</v>
      </c>
      <c r="O133" s="5" t="n">
        <v>156.2791900634766</v>
      </c>
    </row>
    <row r="134">
      <c r="A134" s="3" t="n">
        <v>40544</v>
      </c>
      <c r="B134" s="4" t="inlineStr">
        <is>
          <t>2011m1</t>
        </is>
      </c>
      <c r="C134" s="5" t="n">
        <v>93.48139999999999</v>
      </c>
      <c r="D134" s="5" t="n">
        <v>47.7585441633378</v>
      </c>
      <c r="E134" s="5" t="n">
        <v>92.369</v>
      </c>
      <c r="F134" s="5" t="n">
        <v>0.61</v>
      </c>
      <c r="G134" s="5" t="n">
        <v>0.014298983</v>
      </c>
      <c r="H134" s="5" t="n">
        <v>17.3155</v>
      </c>
      <c r="I134" s="5" t="n">
        <v>111.4928249170021</v>
      </c>
      <c r="J134" s="5" t="n">
        <v>88.3</v>
      </c>
      <c r="K134" s="5" t="n">
        <v>88.288</v>
      </c>
      <c r="L134" s="5" t="n">
        <v>2.650952380952381</v>
      </c>
      <c r="M134" s="5" t="n">
        <v>0.8099999999999996</v>
      </c>
      <c r="N134" s="5" t="n">
        <v>1119.428571428571</v>
      </c>
      <c r="O134" s="5" t="n">
        <v>137.0540466308594</v>
      </c>
    </row>
    <row r="135">
      <c r="A135" s="3" t="n">
        <v>40575</v>
      </c>
      <c r="B135" s="4" t="inlineStr">
        <is>
          <t>2011m2</t>
        </is>
      </c>
      <c r="C135" s="5" t="n">
        <v>93.11020000000001</v>
      </c>
      <c r="D135" s="5" t="n">
        <v>48.1136262760763</v>
      </c>
      <c r="E135" s="5" t="n">
        <v>100.2544444444444</v>
      </c>
      <c r="F135" s="5" t="n">
        <v>0.77</v>
      </c>
      <c r="G135" s="5" t="n">
        <v>-0.242590374</v>
      </c>
      <c r="H135" s="5" t="n">
        <v>17.43</v>
      </c>
      <c r="I135" s="5" t="n">
        <v>104.5623700571825</v>
      </c>
      <c r="J135" s="5" t="n">
        <v>84.8</v>
      </c>
      <c r="K135" s="5" t="n">
        <v>88.892</v>
      </c>
      <c r="L135" s="5" t="n">
        <v>2.754117647058823</v>
      </c>
      <c r="M135" s="5" t="n">
        <v>0.7799999999999998</v>
      </c>
      <c r="N135" s="5" t="n">
        <v>1119.505882352941</v>
      </c>
      <c r="O135" s="5" t="n">
        <v>90.90561676025391</v>
      </c>
    </row>
    <row r="136">
      <c r="A136" s="3" t="n">
        <v>40603</v>
      </c>
      <c r="B136" s="4" t="inlineStr">
        <is>
          <t>2011m3</t>
        </is>
      </c>
      <c r="C136" s="5" t="n">
        <v>94.0788</v>
      </c>
      <c r="D136" s="5" t="n">
        <v>48.8237905015535</v>
      </c>
      <c r="E136" s="5" t="n">
        <v>108.5782608695652</v>
      </c>
      <c r="F136" s="5" t="n">
        <v>0.7</v>
      </c>
      <c r="G136" s="5" t="n">
        <v>-0.28464757</v>
      </c>
      <c r="H136" s="5" t="n">
        <v>20.72347826086957</v>
      </c>
      <c r="I136" s="5" t="n">
        <v>153.8417288194156</v>
      </c>
      <c r="J136" s="5" t="n">
        <v>87.7</v>
      </c>
      <c r="K136" s="5" t="n">
        <v>89.238</v>
      </c>
      <c r="L136" s="5" t="n">
        <v>2.925</v>
      </c>
      <c r="M136" s="5" t="n">
        <v>0.7999999999999998</v>
      </c>
      <c r="N136" s="5" t="n">
        <v>1120.445454545455</v>
      </c>
      <c r="O136" s="5" t="n">
        <v>164.4974212646484</v>
      </c>
    </row>
    <row r="137">
      <c r="A137" s="3" t="n">
        <v>40634</v>
      </c>
      <c r="B137" s="4" t="inlineStr">
        <is>
          <t>2011m4</t>
        </is>
      </c>
      <c r="C137" s="5" t="n">
        <v>93.7749</v>
      </c>
      <c r="D137" s="5" t="n">
        <v>49.1788726142921</v>
      </c>
      <c r="E137" s="5" t="n">
        <v>115.7</v>
      </c>
      <c r="F137" s="5" t="n">
        <v>0.73</v>
      </c>
      <c r="G137" s="5" t="n">
        <v>-0.231961063</v>
      </c>
      <c r="H137" s="5" t="n">
        <v>16.244</v>
      </c>
      <c r="I137" s="5" t="n">
        <v>124.8465873932551</v>
      </c>
      <c r="J137" s="5" t="n">
        <v>86.7</v>
      </c>
      <c r="K137" s="5" t="n">
        <v>89.325</v>
      </c>
      <c r="L137" s="5" t="n">
        <v>3.013809523809524</v>
      </c>
      <c r="M137" s="5" t="n">
        <v>0.7999999999999998</v>
      </c>
      <c r="N137" s="5" t="n">
        <v>1084.833333333333</v>
      </c>
      <c r="O137" s="5" t="n">
        <v>104.0168991088867</v>
      </c>
    </row>
    <row r="138">
      <c r="A138" s="3" t="n">
        <v>40664</v>
      </c>
      <c r="B138" s="4" t="inlineStr">
        <is>
          <t>2011m5</t>
        </is>
      </c>
      <c r="C138" s="5" t="n">
        <v>93.88800000000001</v>
      </c>
      <c r="D138" s="5" t="n">
        <v>49.5339547270306</v>
      </c>
      <c r="E138" s="5" t="n">
        <v>108.4645</v>
      </c>
      <c r="F138" s="5" t="n">
        <v>0.5600000000000001</v>
      </c>
      <c r="G138" s="5" t="n">
        <v>-0.102936128</v>
      </c>
      <c r="H138" s="5" t="n">
        <v>16.91142857142857</v>
      </c>
      <c r="I138" s="5" t="n">
        <v>84.54916109828461</v>
      </c>
      <c r="J138" s="5" t="n">
        <v>87.09999999999999</v>
      </c>
      <c r="K138" s="5" t="n">
        <v>89.497</v>
      </c>
      <c r="L138" s="5" t="n">
        <v>3.0265</v>
      </c>
      <c r="M138" s="5" t="n">
        <v>0.7800000000000002</v>
      </c>
      <c r="N138" s="5" t="n">
        <v>1084.05</v>
      </c>
      <c r="O138" s="5" t="n">
        <v>96.73413848876953</v>
      </c>
    </row>
    <row r="139">
      <c r="A139" s="3" t="n">
        <v>40695</v>
      </c>
      <c r="B139" s="4" t="inlineStr">
        <is>
          <t>2011m6</t>
        </is>
      </c>
      <c r="C139" s="5" t="n">
        <v>94.172</v>
      </c>
      <c r="D139" s="5" t="n">
        <v>50.0665778961385</v>
      </c>
      <c r="E139" s="5" t="n">
        <v>107.5245454545454</v>
      </c>
      <c r="F139" s="5" t="n">
        <v>0.41</v>
      </c>
      <c r="G139" s="5" t="n">
        <v>0.013235217</v>
      </c>
      <c r="H139" s="5" t="n">
        <v>19.15318181818182</v>
      </c>
      <c r="I139" s="5" t="n">
        <v>139.0378982243928</v>
      </c>
      <c r="J139" s="5" t="n">
        <v>88</v>
      </c>
      <c r="K139" s="5" t="n">
        <v>89.67</v>
      </c>
      <c r="L139" s="5" t="n">
        <v>3.195238095238095</v>
      </c>
      <c r="M139" s="5" t="n">
        <v>0.7500000000000004</v>
      </c>
      <c r="N139" s="5" t="n">
        <v>1080.871428571429</v>
      </c>
      <c r="O139" s="5" t="n">
        <v>129.9898834228516</v>
      </c>
    </row>
    <row r="140">
      <c r="A140" s="3" t="n">
        <v>40725</v>
      </c>
      <c r="B140" s="4" t="inlineStr">
        <is>
          <t>2011m7</t>
        </is>
      </c>
      <c r="C140" s="5" t="n">
        <v>94.636</v>
      </c>
      <c r="D140" s="5" t="n">
        <v>50.4216600088771</v>
      </c>
      <c r="E140" s="5" t="n">
        <v>109.9833333333333</v>
      </c>
      <c r="F140" s="5" t="n">
        <v>0.41</v>
      </c>
      <c r="G140" s="5" t="n">
        <v>-0.029957105</v>
      </c>
      <c r="H140" s="5" t="n">
        <v>19.2275</v>
      </c>
      <c r="I140" s="5" t="n">
        <v>207.1603072762262</v>
      </c>
      <c r="J140" s="5" t="n">
        <v>87.5</v>
      </c>
      <c r="K140" s="5" t="n">
        <v>90.102</v>
      </c>
      <c r="L140" s="5" t="n">
        <v>3.263809523809523</v>
      </c>
      <c r="M140" s="5" t="n">
        <v>0.7100000000000004</v>
      </c>
      <c r="N140" s="5" t="n">
        <v>1058.485714285714</v>
      </c>
      <c r="O140" s="5" t="n">
        <v>134.7798461914062</v>
      </c>
    </row>
    <row r="141">
      <c r="A141" s="3" t="n">
        <v>40756</v>
      </c>
      <c r="B141" s="4" t="inlineStr">
        <is>
          <t>2011m8</t>
        </is>
      </c>
      <c r="C141" s="5" t="n">
        <v>95.2749</v>
      </c>
      <c r="D141" s="5" t="n">
        <v>50.9542831779849</v>
      </c>
      <c r="E141" s="5" t="n">
        <v>105.0566666666667</v>
      </c>
      <c r="F141" s="5" t="n">
        <v>0.23</v>
      </c>
      <c r="G141" s="5" t="n">
        <v>-0.077294817</v>
      </c>
      <c r="H141" s="5" t="n">
        <v>35.02913043478261</v>
      </c>
      <c r="I141" s="5" t="n">
        <v>283.6655747590031</v>
      </c>
      <c r="J141" s="5" t="n">
        <v>87.8</v>
      </c>
      <c r="K141" s="5" t="n">
        <v>90.70699999999999</v>
      </c>
      <c r="L141" s="5" t="n">
        <v>3.250454545454545</v>
      </c>
      <c r="M141" s="5" t="n">
        <v>0.7200000000000002</v>
      </c>
      <c r="N141" s="5" t="n">
        <v>1074.054545454545</v>
      </c>
      <c r="O141" s="5" t="n">
        <v>219.3811798095703</v>
      </c>
    </row>
    <row r="142">
      <c r="A142" s="3" t="n">
        <v>40787</v>
      </c>
      <c r="B142" s="4" t="inlineStr">
        <is>
          <t>2011m9</t>
        </is>
      </c>
      <c r="C142" s="5" t="n">
        <v>95.1961</v>
      </c>
      <c r="D142" s="5" t="n">
        <v>51.4869063470928</v>
      </c>
      <c r="E142" s="5" t="n">
        <v>106.0018181818182</v>
      </c>
      <c r="F142" s="5" t="n">
        <v>0.21</v>
      </c>
      <c r="G142" s="5" t="n">
        <v>0.4661374710520354</v>
      </c>
      <c r="H142" s="5" t="n">
        <v>36.53</v>
      </c>
      <c r="I142" s="5" t="n">
        <v>214.42610531268</v>
      </c>
      <c r="J142" s="5" t="n">
        <v>87.59999999999999</v>
      </c>
      <c r="K142" s="5" t="n">
        <v>90.62</v>
      </c>
      <c r="L142" s="5" t="n">
        <v>3.255</v>
      </c>
      <c r="M142" s="5" t="n">
        <v>0.79</v>
      </c>
      <c r="N142" s="5" t="n">
        <v>1125.085</v>
      </c>
      <c r="O142" s="5" t="n">
        <v>248.3185882568359</v>
      </c>
    </row>
    <row r="143">
      <c r="A143" s="3" t="n">
        <v>40817</v>
      </c>
      <c r="B143" s="4" t="inlineStr">
        <is>
          <t>2011m10</t>
        </is>
      </c>
      <c r="C143" s="5" t="n">
        <v>95.85680000000001</v>
      </c>
      <c r="D143" s="5" t="n">
        <v>51.8419884598313</v>
      </c>
      <c r="E143" s="5" t="n">
        <v>103.6685</v>
      </c>
      <c r="F143" s="5" t="n">
        <v>0.28</v>
      </c>
      <c r="G143" s="5" t="n">
        <v>-0.06881183</v>
      </c>
      <c r="H143" s="5" t="n">
        <v>32.82904761904761</v>
      </c>
      <c r="I143" s="5" t="n">
        <v>137.8392521317936</v>
      </c>
      <c r="J143" s="5" t="n">
        <v>88.59999999999999</v>
      </c>
      <c r="K143" s="5" t="n">
        <v>90.44799999999999</v>
      </c>
      <c r="L143" s="5" t="n">
        <v>3.2425</v>
      </c>
      <c r="M143" s="5" t="n">
        <v>0.8199999999999998</v>
      </c>
      <c r="N143" s="5" t="n">
        <v>1150.245</v>
      </c>
      <c r="O143" s="5" t="n">
        <v>187.1014251708984</v>
      </c>
    </row>
    <row r="144">
      <c r="A144" s="3" t="n">
        <v>40848</v>
      </c>
      <c r="B144" s="4" t="inlineStr">
        <is>
          <t>2011m11</t>
        </is>
      </c>
      <c r="C144" s="5" t="n">
        <v>95.8485</v>
      </c>
      <c r="D144" s="5" t="n">
        <v>52.1970705725699</v>
      </c>
      <c r="E144" s="5" t="n">
        <v>108.5876190476191</v>
      </c>
      <c r="F144" s="5" t="n">
        <v>0.25</v>
      </c>
      <c r="G144" s="5" t="n">
        <v>0.5352757210699894</v>
      </c>
      <c r="H144" s="5" t="n">
        <v>31.94190476190476</v>
      </c>
      <c r="I144" s="5" t="n">
        <v>143.7145628597654</v>
      </c>
      <c r="J144" s="5" t="n">
        <v>87.5</v>
      </c>
      <c r="K144" s="5" t="n">
        <v>90.53400000000001</v>
      </c>
      <c r="L144" s="5" t="n">
        <v>3.259090909090909</v>
      </c>
      <c r="M144" s="5" t="n">
        <v>0.8500000000000001</v>
      </c>
      <c r="N144" s="5" t="n">
        <v>1134.186363636363</v>
      </c>
      <c r="O144" s="5" t="n">
        <v>221.1630706787109</v>
      </c>
    </row>
    <row r="145">
      <c r="A145" s="3" t="n">
        <v>40878</v>
      </c>
      <c r="B145" s="4" t="inlineStr">
        <is>
          <t>2011m12</t>
        </is>
      </c>
      <c r="C145" s="5" t="n">
        <v>96.3571</v>
      </c>
      <c r="D145" s="5" t="n">
        <v>52.5521526853085</v>
      </c>
      <c r="E145" s="5" t="n">
        <v>106.2185714285714</v>
      </c>
      <c r="F145" s="5" t="n">
        <v>0.26</v>
      </c>
      <c r="G145" s="5" t="n">
        <v>0.3135944715522898</v>
      </c>
      <c r="H145" s="5" t="n">
        <v>25.04761904761905</v>
      </c>
      <c r="I145" s="5" t="n">
        <v>183.0886070839736</v>
      </c>
      <c r="J145" s="5" t="n">
        <v>86.7</v>
      </c>
      <c r="K145" s="5" t="n">
        <v>90.879</v>
      </c>
      <c r="L145" s="5" t="n">
        <v>3.263636363636364</v>
      </c>
      <c r="M145" s="5" t="n">
        <v>0.8800000000000003</v>
      </c>
      <c r="N145" s="5" t="n">
        <v>1148.295238095238</v>
      </c>
      <c r="O145" s="5" t="n">
        <v>270.3650207519531</v>
      </c>
    </row>
    <row r="146">
      <c r="A146" s="3" t="n">
        <v>40909</v>
      </c>
      <c r="B146" s="4" t="inlineStr">
        <is>
          <t>2012m1</t>
        </is>
      </c>
      <c r="C146" s="5" t="n">
        <v>96.9318</v>
      </c>
      <c r="D146" s="5" t="n">
        <v>53.0847758544163</v>
      </c>
      <c r="E146" s="5" t="n">
        <v>109.7805263157895</v>
      </c>
      <c r="F146" s="5" t="n">
        <v>0.24</v>
      </c>
      <c r="G146" s="5" t="n">
        <v>0.2207123138936589</v>
      </c>
      <c r="H146" s="5" t="n">
        <v>20.228</v>
      </c>
      <c r="I146" s="5" t="n">
        <v>154.4180208360814</v>
      </c>
      <c r="J146" s="5" t="n">
        <v>87.59999999999999</v>
      </c>
      <c r="K146" s="5" t="n">
        <v>91.242</v>
      </c>
      <c r="L146" s="5" t="n">
        <v>3.258</v>
      </c>
      <c r="M146" s="5" t="n">
        <v>0.8700000000000001</v>
      </c>
      <c r="N146" s="5" t="n">
        <v>1144.56</v>
      </c>
      <c r="O146" s="5" t="n">
        <v>254.889404296875</v>
      </c>
    </row>
    <row r="147">
      <c r="A147" s="3" t="n">
        <v>40940</v>
      </c>
      <c r="B147" s="4" t="inlineStr">
        <is>
          <t>2012m2</t>
        </is>
      </c>
      <c r="C147" s="5" t="n">
        <v>97.2435</v>
      </c>
      <c r="D147" s="5" t="n">
        <v>53.4398579671549</v>
      </c>
      <c r="E147" s="5" t="n">
        <v>116.1461904761905</v>
      </c>
      <c r="F147" s="5" t="n">
        <v>0.28</v>
      </c>
      <c r="G147" s="5" t="n">
        <v>0.096939601</v>
      </c>
      <c r="H147" s="5" t="n">
        <v>18.4205</v>
      </c>
      <c r="I147" s="5" t="n">
        <v>119.4354400314271</v>
      </c>
      <c r="J147" s="5" t="n">
        <v>89.5</v>
      </c>
      <c r="K147" s="5" t="n">
        <v>91.58799999999999</v>
      </c>
      <c r="L147" s="5" t="n">
        <v>3.253333333333333</v>
      </c>
      <c r="M147" s="5" t="n">
        <v>0.8199999999999998</v>
      </c>
      <c r="N147" s="5" t="n">
        <v>1122.938095238095</v>
      </c>
      <c r="O147" s="5" t="n">
        <v>114.401237487793</v>
      </c>
    </row>
    <row r="148">
      <c r="A148" s="3" t="n">
        <v>40969</v>
      </c>
      <c r="B148" s="4" t="inlineStr">
        <is>
          <t>2012m3</t>
        </is>
      </c>
      <c r="C148" s="5" t="n">
        <v>96.73999999999999</v>
      </c>
      <c r="D148" s="5" t="n">
        <v>54.5051043053706</v>
      </c>
      <c r="E148" s="5" t="n">
        <v>122.2759090909091</v>
      </c>
      <c r="F148" s="5" t="n">
        <v>0.34</v>
      </c>
      <c r="G148" s="5" t="n">
        <v>-0.31444302</v>
      </c>
      <c r="H148" s="5" t="n">
        <v>16.16727272727273</v>
      </c>
      <c r="I148" s="5" t="n">
        <v>98.74810531454743</v>
      </c>
      <c r="J148" s="5" t="n">
        <v>88.3</v>
      </c>
      <c r="K148" s="5" t="n">
        <v>91.614</v>
      </c>
      <c r="L148" s="5" t="n">
        <v>3.246666666666667</v>
      </c>
      <c r="M148" s="5" t="n">
        <v>0.8100000000000005</v>
      </c>
      <c r="N148" s="5" t="n">
        <v>1126.938095238095</v>
      </c>
      <c r="O148" s="5" t="n">
        <v>111.1845932006836</v>
      </c>
    </row>
    <row r="149">
      <c r="A149" s="3" t="n">
        <v>41000</v>
      </c>
      <c r="B149" s="4" t="inlineStr">
        <is>
          <t>2012m4</t>
        </is>
      </c>
      <c r="C149" s="5" t="n">
        <v>97.4359</v>
      </c>
      <c r="D149" s="5" t="n">
        <v>53.9724811362628</v>
      </c>
      <c r="E149" s="5" t="n">
        <v>117.25</v>
      </c>
      <c r="F149" s="5" t="n">
        <v>0.29</v>
      </c>
      <c r="G149" s="5" t="n">
        <v>-0.127930573</v>
      </c>
      <c r="H149" s="5" t="n">
        <v>17.823</v>
      </c>
      <c r="I149" s="5" t="n">
        <v>96.96967116682289</v>
      </c>
      <c r="J149" s="5" t="n">
        <v>88.3</v>
      </c>
      <c r="K149" s="5" t="n">
        <v>91.605</v>
      </c>
      <c r="L149" s="5" t="n">
        <v>3.2465</v>
      </c>
      <c r="M149" s="5" t="n">
        <v>0.75</v>
      </c>
      <c r="N149" s="5" t="n">
        <v>1135.41</v>
      </c>
      <c r="O149" s="5" t="n">
        <v>122.1959838867188</v>
      </c>
    </row>
    <row r="150">
      <c r="A150" s="3" t="n">
        <v>41030</v>
      </c>
      <c r="B150" s="4" t="inlineStr">
        <is>
          <t>2012m5</t>
        </is>
      </c>
      <c r="C150" s="5" t="n">
        <v>97.6609</v>
      </c>
      <c r="D150" s="5" t="n">
        <v>54.5051043053706</v>
      </c>
      <c r="E150" s="5" t="n">
        <v>107.0545454545454</v>
      </c>
      <c r="F150" s="5" t="n">
        <v>0.29</v>
      </c>
      <c r="G150" s="5" t="n">
        <v>-0.04606573</v>
      </c>
      <c r="H150" s="5" t="n">
        <v>21.00181818181818</v>
      </c>
      <c r="I150" s="5" t="n">
        <v>135.8798510965026</v>
      </c>
      <c r="J150" s="5" t="n">
        <v>89.3</v>
      </c>
      <c r="K150" s="5" t="n">
        <v>91.76900000000001</v>
      </c>
      <c r="L150" s="5" t="n">
        <v>3.259523809523809</v>
      </c>
      <c r="M150" s="5" t="n">
        <v>0.6299999999999999</v>
      </c>
      <c r="N150" s="5" t="n">
        <v>1157.071428571429</v>
      </c>
      <c r="O150" s="5" t="n">
        <v>174.7523803710938</v>
      </c>
    </row>
    <row r="151">
      <c r="A151" s="3" t="n">
        <v>41061</v>
      </c>
      <c r="B151" s="4" t="inlineStr">
        <is>
          <t>2012m6</t>
        </is>
      </c>
      <c r="C151" s="5" t="n">
        <v>97.66630000000001</v>
      </c>
      <c r="D151" s="5" t="n">
        <v>54.8601864181092</v>
      </c>
      <c r="E151" s="5" t="n">
        <v>94.23619047619047</v>
      </c>
      <c r="F151" s="5" t="n">
        <v>0.29</v>
      </c>
      <c r="G151" s="5" t="n">
        <v>0.2044154104026714</v>
      </c>
      <c r="H151" s="5" t="n">
        <v>21.13095238095238</v>
      </c>
      <c r="I151" s="5" t="n">
        <v>197.4609789217969</v>
      </c>
      <c r="J151" s="5" t="n">
        <v>88.2</v>
      </c>
      <c r="K151" s="5" t="n">
        <v>91.639</v>
      </c>
      <c r="L151" s="5" t="n">
        <v>3.257499999999999</v>
      </c>
      <c r="M151" s="5" t="n">
        <v>0.5800000000000001</v>
      </c>
      <c r="N151" s="5" t="n">
        <v>1163.605</v>
      </c>
      <c r="O151" s="5" t="n">
        <v>207.7929840087891</v>
      </c>
    </row>
    <row r="152">
      <c r="A152" s="3" t="n">
        <v>41091</v>
      </c>
      <c r="B152" s="4" t="inlineStr">
        <is>
          <t>2012m7</t>
        </is>
      </c>
      <c r="C152" s="5" t="n">
        <v>97.87130000000001</v>
      </c>
      <c r="D152" s="5" t="n">
        <v>55.2152685308478</v>
      </c>
      <c r="E152" s="5" t="n">
        <v>99.22000000000001</v>
      </c>
      <c r="F152" s="5" t="n">
        <v>0.25</v>
      </c>
      <c r="G152" s="5" t="n">
        <v>0.036221115</v>
      </c>
      <c r="H152" s="5" t="n">
        <v>17.56523809523809</v>
      </c>
      <c r="I152" s="5" t="n">
        <v>180.8035422120983</v>
      </c>
      <c r="J152" s="5" t="n">
        <v>88.90000000000001</v>
      </c>
      <c r="K152" s="5" t="n">
        <v>91.432</v>
      </c>
      <c r="L152" s="5" t="n">
        <v>3.095454545454545</v>
      </c>
      <c r="M152" s="5" t="n">
        <v>0.5900000000000003</v>
      </c>
      <c r="N152" s="5" t="n">
        <v>1142.331818181818</v>
      </c>
      <c r="O152" s="5" t="n">
        <v>152.1266479492188</v>
      </c>
    </row>
    <row r="153">
      <c r="A153" s="3" t="n">
        <v>41122</v>
      </c>
      <c r="B153" s="4" t="inlineStr">
        <is>
          <t>2012m8</t>
        </is>
      </c>
      <c r="C153" s="5" t="n">
        <v>97.4525</v>
      </c>
      <c r="D153" s="5" t="n">
        <v>55.5703506435863</v>
      </c>
      <c r="E153" s="5" t="n">
        <v>108.3704761904762</v>
      </c>
      <c r="F153" s="5" t="n">
        <v>0.27</v>
      </c>
      <c r="G153" s="5" t="n">
        <v>-0.170083205</v>
      </c>
      <c r="H153" s="5" t="n">
        <v>15.6895652173913</v>
      </c>
      <c r="I153" s="5" t="n">
        <v>142.9553013278581</v>
      </c>
      <c r="J153" s="5" t="n">
        <v>87.59999999999999</v>
      </c>
      <c r="K153" s="5" t="n">
        <v>91.855</v>
      </c>
      <c r="L153" s="5" t="n">
        <v>2.996363636363637</v>
      </c>
      <c r="M153" s="5" t="n">
        <v>0.5699999999999998</v>
      </c>
      <c r="N153" s="5" t="n">
        <v>1132.059090909091</v>
      </c>
      <c r="O153" s="5" t="n">
        <v>131.9577941894531</v>
      </c>
    </row>
    <row r="154">
      <c r="A154" s="3" t="n">
        <v>41153</v>
      </c>
      <c r="B154" s="4" t="inlineStr">
        <is>
          <t>2012m9</t>
        </is>
      </c>
      <c r="C154" s="5" t="n">
        <v>97.381</v>
      </c>
      <c r="D154" s="5" t="n">
        <v>56.1029738126942</v>
      </c>
      <c r="E154" s="5" t="n">
        <v>110.9645</v>
      </c>
      <c r="F154" s="5" t="n">
        <v>0.26</v>
      </c>
      <c r="G154" s="5" t="n">
        <v>-0.117445678</v>
      </c>
      <c r="H154" s="5" t="n">
        <v>15.28473684210526</v>
      </c>
      <c r="I154" s="5" t="n">
        <v>182.1071854846393</v>
      </c>
      <c r="J154" s="5" t="n">
        <v>88.3</v>
      </c>
      <c r="K154" s="5" t="n">
        <v>92.512</v>
      </c>
      <c r="L154" s="5" t="n">
        <v>2.996</v>
      </c>
      <c r="M154" s="5" t="n">
        <v>0.5</v>
      </c>
      <c r="N154" s="5" t="n">
        <v>1123.67</v>
      </c>
      <c r="O154" s="5" t="n">
        <v>160.9791259765625</v>
      </c>
    </row>
    <row r="155">
      <c r="A155" s="3" t="n">
        <v>41183</v>
      </c>
      <c r="B155" s="4" t="inlineStr">
        <is>
          <t>2012m10</t>
        </is>
      </c>
      <c r="C155" s="5" t="n">
        <v>97.7193</v>
      </c>
      <c r="D155" s="5" t="n">
        <v>56.635596981802</v>
      </c>
      <c r="E155" s="5" t="n">
        <v>108.7327272727273</v>
      </c>
      <c r="F155" s="5" t="n">
        <v>0.28</v>
      </c>
      <c r="G155" s="5" t="n">
        <v>-0.148993582</v>
      </c>
      <c r="H155" s="5" t="n">
        <v>16.27619047619048</v>
      </c>
      <c r="I155" s="5" t="n">
        <v>166.1284040966767</v>
      </c>
      <c r="J155" s="5" t="n">
        <v>88.7</v>
      </c>
      <c r="K155" s="5" t="n">
        <v>92.339</v>
      </c>
      <c r="L155" s="5" t="n">
        <v>2.81952380952381</v>
      </c>
      <c r="M155" s="5" t="n">
        <v>0.52</v>
      </c>
      <c r="N155" s="5" t="n">
        <v>1105.490476190476</v>
      </c>
      <c r="O155" s="5" t="n">
        <v>175.7323455810547</v>
      </c>
    </row>
    <row r="156">
      <c r="A156" s="3" t="n">
        <v>41214</v>
      </c>
      <c r="B156" s="4" t="inlineStr">
        <is>
          <t>2012m11</t>
        </is>
      </c>
      <c r="C156" s="5" t="n">
        <v>98.07769999999999</v>
      </c>
      <c r="D156" s="5" t="n">
        <v>57.1682201509099</v>
      </c>
      <c r="E156" s="5" t="n">
        <v>107.1333333333333</v>
      </c>
      <c r="F156" s="5" t="n">
        <v>0.27</v>
      </c>
      <c r="G156" s="5" t="n">
        <v>-0.017482851</v>
      </c>
      <c r="H156" s="5" t="n">
        <v>16.70190476190476</v>
      </c>
      <c r="I156" s="5" t="n">
        <v>205.8646602342428</v>
      </c>
      <c r="J156" s="5" t="n">
        <v>89.2</v>
      </c>
      <c r="K156" s="5" t="n">
        <v>92.011</v>
      </c>
      <c r="L156" s="5" t="n">
        <v>2.755454545454545</v>
      </c>
      <c r="M156" s="5" t="n">
        <v>0.52</v>
      </c>
      <c r="N156" s="5" t="n">
        <v>1087.145454545455</v>
      </c>
      <c r="O156" s="5" t="n">
        <v>188.5587463378906</v>
      </c>
    </row>
    <row r="157">
      <c r="A157" s="3" t="n">
        <v>41244</v>
      </c>
      <c r="B157" s="4" t="inlineStr">
        <is>
          <t>2012m12</t>
        </is>
      </c>
      <c r="C157" s="5" t="n">
        <v>98.31010000000001</v>
      </c>
      <c r="D157" s="5" t="n">
        <v>57.7008433200178</v>
      </c>
      <c r="E157" s="5" t="n">
        <v>105.689</v>
      </c>
      <c r="F157" s="5" t="n">
        <v>0.26</v>
      </c>
      <c r="G157" s="5" t="n">
        <v>-0.135859201</v>
      </c>
      <c r="H157" s="5" t="n">
        <v>17.307</v>
      </c>
      <c r="I157" s="5" t="n">
        <v>214.9519488322955</v>
      </c>
      <c r="J157" s="5" t="n">
        <v>89.2</v>
      </c>
      <c r="K157" s="5" t="n">
        <v>92.175</v>
      </c>
      <c r="L157" s="5" t="n">
        <v>2.753157894736842</v>
      </c>
      <c r="M157" s="5" t="n">
        <v>0.4499999999999997</v>
      </c>
      <c r="N157" s="5" t="n">
        <v>1076.416666666667</v>
      </c>
      <c r="O157" s="5" t="n">
        <v>164.7284240722656</v>
      </c>
    </row>
    <row r="158">
      <c r="A158" s="3" t="n">
        <v>41275</v>
      </c>
      <c r="B158" s="4" t="inlineStr">
        <is>
          <t>2013m1</t>
        </is>
      </c>
      <c r="C158" s="5" t="n">
        <v>98.3342</v>
      </c>
      <c r="D158" s="5" t="n">
        <v>58.4110075454949</v>
      </c>
      <c r="E158" s="5" t="n">
        <v>107.5827272727273</v>
      </c>
      <c r="F158" s="5" t="n">
        <v>0.27</v>
      </c>
      <c r="G158" s="5" t="n">
        <v>-0.063779191</v>
      </c>
      <c r="H158" s="5" t="n">
        <v>13.5052380952381</v>
      </c>
      <c r="I158" s="5" t="n">
        <v>199.3589422414856</v>
      </c>
      <c r="J158" s="5" t="n">
        <v>89.7</v>
      </c>
      <c r="K158" s="5" t="n">
        <v>92.72799999999999</v>
      </c>
      <c r="L158" s="5" t="n">
        <v>2.756363636363636</v>
      </c>
      <c r="M158" s="5" t="n">
        <v>0.4500000000000002</v>
      </c>
      <c r="N158" s="5" t="n">
        <v>1066.536363636364</v>
      </c>
      <c r="O158" s="5" t="n">
        <v>192.9524230957031</v>
      </c>
    </row>
    <row r="159">
      <c r="A159" s="3" t="n">
        <v>41306</v>
      </c>
      <c r="B159" s="4" t="inlineStr">
        <is>
          <t>2013m2</t>
        </is>
      </c>
      <c r="C159" s="5" t="n">
        <v>98.7941</v>
      </c>
      <c r="D159" s="5" t="n">
        <v>58.7660896582335</v>
      </c>
      <c r="E159" s="5" t="n">
        <v>111.0933333333333</v>
      </c>
      <c r="F159" s="5" t="n">
        <v>0.27</v>
      </c>
      <c r="G159" s="5" t="n">
        <v>0.00150747</v>
      </c>
      <c r="H159" s="5" t="n">
        <v>14.07263157894737</v>
      </c>
      <c r="I159" s="5" t="n">
        <v>128.5625134303117</v>
      </c>
      <c r="J159" s="5" t="n">
        <v>90.5</v>
      </c>
      <c r="K159" s="5" t="n">
        <v>93.038</v>
      </c>
      <c r="L159" s="5" t="n">
        <v>2.747368421052632</v>
      </c>
      <c r="M159" s="5" t="n">
        <v>0.3599999999999999</v>
      </c>
      <c r="N159" s="5" t="n">
        <v>1086.063157894737</v>
      </c>
      <c r="O159" s="5" t="n">
        <v>164.4231414794922</v>
      </c>
    </row>
    <row r="160">
      <c r="A160" s="3" t="n">
        <v>41334</v>
      </c>
      <c r="B160" s="4" t="inlineStr">
        <is>
          <t>2013m3</t>
        </is>
      </c>
      <c r="C160" s="5" t="n">
        <v>99.1921</v>
      </c>
      <c r="D160" s="5" t="n">
        <v>59.121171770972</v>
      </c>
      <c r="E160" s="5" t="n">
        <v>105.415</v>
      </c>
      <c r="F160" s="5" t="n">
        <v>0.26</v>
      </c>
      <c r="G160" s="5" t="n">
        <v>-0.06584485800000001</v>
      </c>
      <c r="H160" s="5" t="n">
        <v>13.0315</v>
      </c>
      <c r="I160" s="5" t="n">
        <v>146.1158615985082</v>
      </c>
      <c r="J160" s="5" t="n">
        <v>88.90000000000001</v>
      </c>
      <c r="K160" s="5" t="n">
        <v>92.952</v>
      </c>
      <c r="L160" s="5" t="n">
        <v>2.744</v>
      </c>
      <c r="M160" s="5" t="n">
        <v>0.3500000000000001</v>
      </c>
      <c r="N160" s="5" t="n">
        <v>1103.805</v>
      </c>
      <c r="O160" s="5" t="n">
        <v>125.9201736450195</v>
      </c>
    </row>
    <row r="161">
      <c r="A161" s="3" t="n">
        <v>41365</v>
      </c>
      <c r="B161" s="4" t="inlineStr">
        <is>
          <t>2013m4</t>
        </is>
      </c>
      <c r="C161" s="5" t="n">
        <v>99.1065</v>
      </c>
      <c r="D161" s="5" t="n">
        <v>59.2987128273413</v>
      </c>
      <c r="E161" s="5" t="n">
        <v>101.6613636363636</v>
      </c>
      <c r="F161" s="5" t="n">
        <v>0.23</v>
      </c>
      <c r="G161" s="5" t="n">
        <v>-0.09158691200000001</v>
      </c>
      <c r="H161" s="5" t="n">
        <v>13.96727272727273</v>
      </c>
      <c r="I161" s="5" t="n">
        <v>135.4405916493297</v>
      </c>
      <c r="J161" s="5" t="n">
        <v>90.2</v>
      </c>
      <c r="K161" s="5" t="n">
        <v>92.82299999999999</v>
      </c>
      <c r="L161" s="5" t="n">
        <v>2.746818181818182</v>
      </c>
      <c r="M161" s="5" t="n">
        <v>0.3600000000000003</v>
      </c>
      <c r="N161" s="5" t="n">
        <v>1121.095454545454</v>
      </c>
      <c r="O161" s="5" t="n">
        <v>134.6317901611328</v>
      </c>
    </row>
    <row r="162">
      <c r="A162" s="3" t="n">
        <v>41395</v>
      </c>
      <c r="B162" s="4" t="inlineStr">
        <is>
          <t>2013m5</t>
        </is>
      </c>
      <c r="C162" s="5" t="n">
        <v>99.18389999999999</v>
      </c>
      <c r="D162" s="5" t="n">
        <v>59.6537949400799</v>
      </c>
      <c r="E162" s="5" t="n">
        <v>100.3147619047619</v>
      </c>
      <c r="F162" s="5" t="n">
        <v>0.25</v>
      </c>
      <c r="G162" s="5" t="n">
        <v>-0.477593276</v>
      </c>
      <c r="H162" s="5" t="n">
        <v>13.49363636363636</v>
      </c>
      <c r="I162" s="5" t="n">
        <v>109.0280431568297</v>
      </c>
      <c r="J162" s="5" t="n">
        <v>90</v>
      </c>
      <c r="K162" s="5" t="n">
        <v>92.82299999999999</v>
      </c>
      <c r="L162" s="5" t="n">
        <v>2.564285714285715</v>
      </c>
      <c r="M162" s="5" t="n">
        <v>0.3700000000000001</v>
      </c>
      <c r="N162" s="5" t="n">
        <v>1112.104761904762</v>
      </c>
      <c r="O162" s="5" t="n">
        <v>109.6427612304688</v>
      </c>
    </row>
    <row r="163">
      <c r="A163" s="3" t="n">
        <v>41426</v>
      </c>
      <c r="B163" s="4" t="inlineStr">
        <is>
          <t>2013m6</t>
        </is>
      </c>
      <c r="C163" s="5" t="n">
        <v>99.3897</v>
      </c>
      <c r="D163" s="5" t="n">
        <v>59.6537949400799</v>
      </c>
      <c r="E163" s="5" t="n">
        <v>100.3285</v>
      </c>
      <c r="F163" s="5" t="n">
        <v>0.33</v>
      </c>
      <c r="G163" s="5" t="n">
        <v>-0.34645013</v>
      </c>
      <c r="H163" s="5" t="n">
        <v>17.2715</v>
      </c>
      <c r="I163" s="5" t="n">
        <v>126.6258694244252</v>
      </c>
      <c r="J163" s="5" t="n">
        <v>89.7</v>
      </c>
      <c r="K163" s="5" t="n">
        <v>92.70999999999999</v>
      </c>
      <c r="L163" s="5" t="n">
        <v>2.492631578947369</v>
      </c>
      <c r="M163" s="5" t="n">
        <v>0.3700000000000001</v>
      </c>
      <c r="N163" s="5" t="n">
        <v>1136.589473684211</v>
      </c>
      <c r="O163" s="5" t="n">
        <v>149.0504608154297</v>
      </c>
    </row>
    <row r="164">
      <c r="A164" s="3" t="n">
        <v>41456</v>
      </c>
      <c r="B164" s="4" t="inlineStr">
        <is>
          <t>2013m7</t>
        </is>
      </c>
      <c r="C164" s="5" t="n">
        <v>99.0814</v>
      </c>
      <c r="D164" s="5" t="n">
        <v>60.5415002219263</v>
      </c>
      <c r="E164" s="5" t="n">
        <v>103.3621739130435</v>
      </c>
      <c r="F164" s="5" t="n">
        <v>0.34</v>
      </c>
      <c r="G164" s="5" t="n">
        <v>0.008480553</v>
      </c>
      <c r="H164" s="5" t="n">
        <v>13.97454545454545</v>
      </c>
      <c r="I164" s="5" t="n">
        <v>91.43749002531645</v>
      </c>
      <c r="J164" s="5" t="n">
        <v>89.59999999999999</v>
      </c>
      <c r="K164" s="5" t="n">
        <v>92.90900000000001</v>
      </c>
      <c r="L164" s="5" t="n">
        <v>2.467826086956522</v>
      </c>
      <c r="M164" s="5" t="n">
        <v>0.4699999999999998</v>
      </c>
      <c r="N164" s="5" t="n">
        <v>1126.147826086957</v>
      </c>
      <c r="O164" s="5" t="n">
        <v>116.5053253173828</v>
      </c>
    </row>
    <row r="165">
      <c r="A165" s="3" t="n">
        <v>41487</v>
      </c>
      <c r="B165" s="4" t="inlineStr">
        <is>
          <t>2013m8</t>
        </is>
      </c>
      <c r="C165" s="5" t="n">
        <v>99.65430000000001</v>
      </c>
      <c r="D165" s="5" t="n">
        <v>61.606746560142</v>
      </c>
      <c r="E165" s="5" t="n">
        <v>106.962</v>
      </c>
      <c r="F165" s="5" t="n">
        <v>0.36</v>
      </c>
      <c r="G165" s="5" t="n">
        <v>-0.109454356</v>
      </c>
      <c r="H165" s="5" t="n">
        <v>14.21</v>
      </c>
      <c r="I165" s="5" t="n">
        <v>108.758378248946</v>
      </c>
      <c r="J165" s="5" t="n">
        <v>90.3</v>
      </c>
      <c r="K165" s="5" t="n">
        <v>93.238</v>
      </c>
      <c r="L165" s="5" t="n">
        <v>2.498571428571429</v>
      </c>
      <c r="M165" s="5" t="n">
        <v>0.3900000000000001</v>
      </c>
      <c r="N165" s="5" t="n">
        <v>1116.161904761905</v>
      </c>
      <c r="O165" s="5" t="n">
        <v>98.12825775146484</v>
      </c>
    </row>
    <row r="166">
      <c r="A166" s="3" t="n">
        <v>41518</v>
      </c>
      <c r="B166" s="4" t="inlineStr">
        <is>
          <t>2013m9</t>
        </is>
      </c>
      <c r="C166" s="5" t="n">
        <v>100.161</v>
      </c>
      <c r="D166" s="5" t="n">
        <v>61.7842876165113</v>
      </c>
      <c r="E166" s="5" t="n">
        <v>108.4047619047619</v>
      </c>
      <c r="F166" s="5" t="n">
        <v>0.4</v>
      </c>
      <c r="G166" s="5" t="n">
        <v>-0.118565645</v>
      </c>
      <c r="H166" s="5" t="n">
        <v>14.692</v>
      </c>
      <c r="I166" s="5" t="n">
        <v>179.8897364371778</v>
      </c>
      <c r="J166" s="5" t="n">
        <v>89.7</v>
      </c>
      <c r="K166" s="5" t="n">
        <v>93.419</v>
      </c>
      <c r="L166" s="5" t="n">
        <v>2.501111111111111</v>
      </c>
      <c r="M166" s="5" t="n">
        <v>0.3900000000000001</v>
      </c>
      <c r="N166" s="5" t="n">
        <v>1084.788888888889</v>
      </c>
      <c r="O166" s="5" t="n">
        <v>122.0067749023438</v>
      </c>
    </row>
    <row r="167">
      <c r="A167" s="3" t="n">
        <v>41548</v>
      </c>
      <c r="B167" s="4" t="inlineStr">
        <is>
          <t>2013m10</t>
        </is>
      </c>
      <c r="C167" s="5" t="n">
        <v>100.082</v>
      </c>
      <c r="D167" s="5" t="n">
        <v>62.3169107856192</v>
      </c>
      <c r="E167" s="5" t="n">
        <v>106.3022727272727</v>
      </c>
      <c r="F167" s="5" t="n">
        <v>0.34</v>
      </c>
      <c r="G167" s="5" t="n">
        <v>-0.017868531</v>
      </c>
      <c r="H167" s="5" t="n">
        <v>15.40782608695652</v>
      </c>
      <c r="I167" s="5" t="n">
        <v>225.3733071423228</v>
      </c>
      <c r="J167" s="5" t="n">
        <v>90.90000000000001</v>
      </c>
      <c r="K167" s="5" t="n">
        <v>93.134</v>
      </c>
      <c r="L167" s="5" t="n">
        <v>2.499047619047619</v>
      </c>
      <c r="M167" s="5" t="n">
        <v>0.4199999999999999</v>
      </c>
      <c r="N167" s="5" t="n">
        <v>1065.738095238095</v>
      </c>
      <c r="O167" s="5" t="n">
        <v>143.5281524658203</v>
      </c>
    </row>
    <row r="168">
      <c r="A168" s="3" t="n">
        <v>41579</v>
      </c>
      <c r="B168" s="4" t="inlineStr">
        <is>
          <t>2013m11</t>
        </is>
      </c>
      <c r="C168" s="5" t="n">
        <v>100.3158</v>
      </c>
      <c r="D168" s="5" t="n">
        <v>62.849533954727</v>
      </c>
      <c r="E168" s="5" t="n">
        <v>105.8538095238095</v>
      </c>
      <c r="F168" s="5" t="n">
        <v>0.3</v>
      </c>
      <c r="G168" s="5" t="n">
        <v>0.023392909</v>
      </c>
      <c r="H168" s="5" t="n">
        <v>12.924</v>
      </c>
      <c r="I168" s="5" t="n">
        <v>89.91517306848463</v>
      </c>
      <c r="J168" s="5" t="n">
        <v>90.59999999999999</v>
      </c>
      <c r="K168" s="5" t="n">
        <v>93.116</v>
      </c>
      <c r="L168" s="5" t="n">
        <v>2.496666666666667</v>
      </c>
      <c r="M168" s="5" t="n">
        <v>0.4300000000000002</v>
      </c>
      <c r="N168" s="5" t="n">
        <v>1062.747619047619</v>
      </c>
      <c r="O168" s="5" t="n">
        <v>84.72370910644531</v>
      </c>
    </row>
    <row r="169">
      <c r="A169" s="3" t="n">
        <v>41609</v>
      </c>
      <c r="B169" s="4" t="inlineStr">
        <is>
          <t>2013m12</t>
        </is>
      </c>
      <c r="C169" s="5" t="n">
        <v>100.5175</v>
      </c>
      <c r="D169" s="5" t="n">
        <v>63.2046160674656</v>
      </c>
      <c r="E169" s="5" t="n">
        <v>107.9195238095238</v>
      </c>
      <c r="F169" s="5" t="n">
        <v>0.34</v>
      </c>
      <c r="G169" s="5" t="n">
        <v>-0.134867425</v>
      </c>
      <c r="H169" s="5" t="n">
        <v>14.19238095238095</v>
      </c>
      <c r="I169" s="5" t="n">
        <v>115.0207376276682</v>
      </c>
      <c r="J169" s="5" t="n">
        <v>90.2</v>
      </c>
      <c r="K169" s="5" t="n">
        <v>93.229</v>
      </c>
      <c r="L169" s="5" t="n">
        <v>2.498571428571429</v>
      </c>
      <c r="M169" s="5" t="n">
        <v>0.419</v>
      </c>
      <c r="N169" s="5" t="n">
        <v>1056.06</v>
      </c>
      <c r="O169" s="5" t="n">
        <v>125.7977142333984</v>
      </c>
    </row>
    <row r="170">
      <c r="A170" s="3" t="n">
        <v>41640</v>
      </c>
      <c r="B170" s="4" t="inlineStr">
        <is>
          <t>2014m1</t>
        </is>
      </c>
      <c r="C170" s="5" t="n">
        <v>100.1599</v>
      </c>
      <c r="D170" s="5" t="n">
        <v>63.5596981802042</v>
      </c>
      <c r="E170" s="5" t="n">
        <v>104.0052380952381</v>
      </c>
      <c r="F170" s="5" t="n">
        <v>0.39</v>
      </c>
      <c r="G170" s="5" t="n">
        <v>-0.292866512</v>
      </c>
      <c r="H170" s="5" t="n">
        <v>14.24095238095238</v>
      </c>
      <c r="I170" s="5" t="n">
        <v>107.7051288323345</v>
      </c>
      <c r="J170" s="5" t="n">
        <v>92.09999999999999</v>
      </c>
      <c r="K170" s="5" t="n">
        <v>93.73</v>
      </c>
      <c r="L170" s="5" t="n">
        <v>2.4975</v>
      </c>
      <c r="M170" s="5" t="n">
        <v>0.427</v>
      </c>
      <c r="N170" s="5" t="n">
        <v>1065.795</v>
      </c>
      <c r="O170" s="5" t="n">
        <v>105.6411285400391</v>
      </c>
    </row>
    <row r="171">
      <c r="A171" s="3" t="n">
        <v>41671</v>
      </c>
      <c r="B171" s="4" t="inlineStr">
        <is>
          <t>2014m2</t>
        </is>
      </c>
      <c r="C171" s="5" t="n">
        <v>100.9168</v>
      </c>
      <c r="D171" s="5" t="n">
        <v>63.9147802929427</v>
      </c>
      <c r="E171" s="5" t="n">
        <v>104.942</v>
      </c>
      <c r="F171" s="5" t="n">
        <v>0.33</v>
      </c>
      <c r="G171" s="5" t="n">
        <v>-0.188420308</v>
      </c>
      <c r="H171" s="5" t="n">
        <v>15.47</v>
      </c>
      <c r="I171" s="5" t="n">
        <v>93.36929825576232</v>
      </c>
      <c r="J171" s="5" t="n">
        <v>91.5</v>
      </c>
      <c r="K171" s="5" t="n">
        <v>93.98</v>
      </c>
      <c r="L171" s="5" t="n">
        <v>2.4865</v>
      </c>
      <c r="M171" s="5" t="n">
        <v>0.4259999999999997</v>
      </c>
      <c r="N171" s="5" t="n">
        <v>1070.97</v>
      </c>
      <c r="O171" s="5" t="n">
        <v>80.79807281494141</v>
      </c>
    </row>
    <row r="172">
      <c r="A172" s="3" t="n">
        <v>41699</v>
      </c>
      <c r="B172" s="4" t="inlineStr">
        <is>
          <t>2014m3</t>
        </is>
      </c>
      <c r="C172" s="5" t="n">
        <v>101.8942</v>
      </c>
      <c r="D172" s="5" t="n">
        <v>64.26986240568129</v>
      </c>
      <c r="E172" s="5" t="n">
        <v>104.1495238095238</v>
      </c>
      <c r="F172" s="5" t="n">
        <v>0.4</v>
      </c>
      <c r="G172" s="5" t="n">
        <v>-0.259681576</v>
      </c>
      <c r="H172" s="5" t="n">
        <v>14.83666666666667</v>
      </c>
      <c r="I172" s="5" t="n">
        <v>101.018731988971</v>
      </c>
      <c r="J172" s="5" t="n">
        <v>91.59999999999999</v>
      </c>
      <c r="K172" s="5" t="n">
        <v>94.15300000000001</v>
      </c>
      <c r="L172" s="5" t="n">
        <v>2.478095238095238</v>
      </c>
      <c r="M172" s="5" t="n">
        <v>0.4289999999999998</v>
      </c>
      <c r="N172" s="5" t="n">
        <v>1070.685714285714</v>
      </c>
      <c r="O172" s="5" t="n">
        <v>55.90073013305664</v>
      </c>
    </row>
    <row r="173">
      <c r="A173" s="3" t="n">
        <v>41730</v>
      </c>
      <c r="B173" s="4" t="inlineStr">
        <is>
          <t>2014m4</t>
        </is>
      </c>
      <c r="C173" s="5" t="n">
        <v>101.9928</v>
      </c>
      <c r="D173" s="5" t="n">
        <v>64.8024855747892</v>
      </c>
      <c r="E173" s="5" t="n">
        <v>104.7252380952381</v>
      </c>
      <c r="F173" s="5" t="n">
        <v>0.42</v>
      </c>
      <c r="G173" s="5" t="n">
        <v>-0.3425608</v>
      </c>
      <c r="H173" s="5" t="n">
        <v>14.19809523809524</v>
      </c>
      <c r="I173" s="5" t="n">
        <v>96.99343088939669</v>
      </c>
      <c r="J173" s="5" t="n">
        <v>91.8</v>
      </c>
      <c r="K173" s="5" t="n">
        <v>94.214</v>
      </c>
      <c r="L173" s="5" t="n">
        <v>2.487727272727273</v>
      </c>
      <c r="M173" s="5" t="n">
        <v>0.4279999999999999</v>
      </c>
      <c r="N173" s="5" t="n">
        <v>1042.745454545455</v>
      </c>
      <c r="O173" s="5" t="n">
        <v>65.95553588867188</v>
      </c>
    </row>
    <row r="174">
      <c r="A174" s="3" t="n">
        <v>41760</v>
      </c>
      <c r="B174" s="4" t="inlineStr">
        <is>
          <t>2014m5</t>
        </is>
      </c>
      <c r="C174" s="5" t="n">
        <v>102.3836</v>
      </c>
      <c r="D174" s="5" t="n">
        <v>65.1575676875277</v>
      </c>
      <c r="E174" s="5" t="n">
        <v>105.602</v>
      </c>
      <c r="F174" s="5" t="n">
        <v>0.39</v>
      </c>
      <c r="G174" s="5" t="n">
        <v>-0.358928476</v>
      </c>
      <c r="H174" s="5" t="n">
        <v>12.4752380952381</v>
      </c>
      <c r="I174" s="5" t="n">
        <v>102.0150429084322</v>
      </c>
      <c r="J174" s="5" t="n">
        <v>90.8</v>
      </c>
      <c r="K174" s="5" t="n">
        <v>94.369</v>
      </c>
      <c r="L174" s="5" t="n">
        <v>2.488947368421053</v>
      </c>
      <c r="M174" s="5" t="n">
        <v>0.4259999999999997</v>
      </c>
      <c r="N174" s="5" t="n">
        <v>1023.98947368421</v>
      </c>
      <c r="O174" s="5" t="n">
        <v>66.65896606445312</v>
      </c>
    </row>
    <row r="175">
      <c r="A175" s="3" t="n">
        <v>41791</v>
      </c>
      <c r="B175" s="4" t="inlineStr">
        <is>
          <t>2014m6</t>
        </is>
      </c>
      <c r="C175" s="5" t="n">
        <v>102.735</v>
      </c>
      <c r="D175" s="5" t="n">
        <v>65.1575676875277</v>
      </c>
      <c r="E175" s="5" t="n">
        <v>108.007619047619</v>
      </c>
      <c r="F175" s="5" t="n">
        <v>0.45</v>
      </c>
      <c r="G175" s="5" t="n">
        <v>-0.29462793</v>
      </c>
      <c r="H175" s="5" t="n">
        <v>11.54142857142857</v>
      </c>
      <c r="I175" s="5" t="n">
        <v>85.96846751882667</v>
      </c>
      <c r="J175" s="5" t="n">
        <v>92.09999999999999</v>
      </c>
      <c r="K175" s="5" t="n">
        <v>94.248</v>
      </c>
      <c r="L175" s="5" t="n">
        <v>2.482105263157895</v>
      </c>
      <c r="M175" s="5" t="n">
        <v>0.4220000000000002</v>
      </c>
      <c r="N175" s="5" t="n">
        <v>1018.7</v>
      </c>
      <c r="O175" s="5" t="n">
        <v>70.28411865234375</v>
      </c>
    </row>
    <row r="176">
      <c r="A176" s="3" t="n">
        <v>41821</v>
      </c>
      <c r="B176" s="4" t="inlineStr">
        <is>
          <t>2014m7</t>
        </is>
      </c>
      <c r="C176" s="5" t="n">
        <v>102.9632</v>
      </c>
      <c r="D176" s="5" t="n">
        <v>66.0452729693742</v>
      </c>
      <c r="E176" s="5" t="n">
        <v>105.7586363636364</v>
      </c>
      <c r="F176" s="5" t="n">
        <v>0.51</v>
      </c>
      <c r="G176" s="5" t="n">
        <v>-0.310221219</v>
      </c>
      <c r="H176" s="5" t="n">
        <v>12.29636363636364</v>
      </c>
      <c r="I176" s="5" t="n">
        <v>78.50598746054466</v>
      </c>
      <c r="J176" s="5" t="n">
        <v>92.3</v>
      </c>
      <c r="K176" s="5" t="n">
        <v>94.386</v>
      </c>
      <c r="L176" s="5" t="n">
        <v>2.485652173913043</v>
      </c>
      <c r="M176" s="5" t="n">
        <v>0.4120000000000004</v>
      </c>
      <c r="N176" s="5" t="n">
        <v>1020.604347826087</v>
      </c>
      <c r="O176" s="5" t="n">
        <v>92.39057922363281</v>
      </c>
    </row>
    <row r="177">
      <c r="A177" s="3" t="n">
        <v>41852</v>
      </c>
      <c r="B177" s="4" t="inlineStr">
        <is>
          <t>2014m8</t>
        </is>
      </c>
      <c r="C177" s="5" t="n">
        <v>102.7688</v>
      </c>
      <c r="D177" s="5" t="n">
        <v>65.8677319130049</v>
      </c>
      <c r="E177" s="5" t="n">
        <v>101.8538095238095</v>
      </c>
      <c r="F177" s="5" t="n">
        <v>0.47</v>
      </c>
      <c r="G177" s="5" t="n">
        <v>-0.304324379</v>
      </c>
      <c r="H177" s="5" t="n">
        <v>13.49190476190476</v>
      </c>
      <c r="I177" s="5" t="n">
        <v>63.87733631975924</v>
      </c>
      <c r="J177" s="5" t="n">
        <v>91.5</v>
      </c>
      <c r="K177" s="5" t="n">
        <v>94.551</v>
      </c>
      <c r="L177" s="5" t="n">
        <v>2.348</v>
      </c>
      <c r="M177" s="5" t="n">
        <v>0.3860000000000001</v>
      </c>
      <c r="N177" s="5" t="n">
        <v>1024.605</v>
      </c>
      <c r="O177" s="5" t="n">
        <v>79.65977478027344</v>
      </c>
    </row>
    <row r="178">
      <c r="A178" s="3" t="n">
        <v>41883</v>
      </c>
      <c r="B178" s="4" t="inlineStr">
        <is>
          <t>2014m9</t>
        </is>
      </c>
      <c r="C178" s="5" t="n">
        <v>103.0641</v>
      </c>
      <c r="D178" s="5" t="n">
        <v>66.7554371948513</v>
      </c>
      <c r="E178" s="5" t="n">
        <v>96.98818181818183</v>
      </c>
      <c r="F178" s="5" t="n">
        <v>0.57</v>
      </c>
      <c r="G178" s="5" t="n">
        <v>-0.209250657</v>
      </c>
      <c r="H178" s="5" t="n">
        <v>13.46666666666667</v>
      </c>
      <c r="I178" s="5" t="n">
        <v>86.21660154224651</v>
      </c>
      <c r="J178" s="5" t="n">
        <v>90.5</v>
      </c>
      <c r="K178" s="5" t="n">
        <v>94.48999999999999</v>
      </c>
      <c r="L178" s="5" t="n">
        <v>2.234736842105263</v>
      </c>
      <c r="M178" s="5" t="n">
        <v>0.3810000000000002</v>
      </c>
      <c r="N178" s="5" t="n">
        <v>1035.8</v>
      </c>
      <c r="O178" s="5" t="n">
        <v>64.48342895507812</v>
      </c>
    </row>
    <row r="179">
      <c r="A179" s="3" t="n">
        <v>41913</v>
      </c>
      <c r="B179" s="4" t="inlineStr">
        <is>
          <t>2014m10</t>
        </is>
      </c>
      <c r="C179" s="5" t="n">
        <v>103.0764</v>
      </c>
      <c r="D179" s="5" t="n">
        <v>67.1105193075899</v>
      </c>
      <c r="E179" s="5" t="n">
        <v>86.57333333333334</v>
      </c>
      <c r="F179" s="5" t="n">
        <v>0.45</v>
      </c>
      <c r="G179" s="5" t="n">
        <v>-0.208946809</v>
      </c>
      <c r="H179" s="5" t="n">
        <v>18.05869565217391</v>
      </c>
      <c r="I179" s="5" t="n">
        <v>113.3345833818482</v>
      </c>
      <c r="J179" s="5" t="n">
        <v>91.2</v>
      </c>
      <c r="K179" s="5" t="n">
        <v>94.205</v>
      </c>
      <c r="L179" s="5" t="n">
        <v>2.076190476190476</v>
      </c>
      <c r="M179" s="5" t="n">
        <v>0.3560000000000003</v>
      </c>
      <c r="N179" s="5" t="n">
        <v>1060.914285714286</v>
      </c>
      <c r="O179" s="5" t="n">
        <v>88.13387298583984</v>
      </c>
    </row>
    <row r="180">
      <c r="A180" s="3" t="n">
        <v>41944</v>
      </c>
      <c r="B180" s="4" t="inlineStr">
        <is>
          <t>2014m11</t>
        </is>
      </c>
      <c r="C180" s="5" t="n">
        <v>103.7126</v>
      </c>
      <c r="D180" s="5" t="n">
        <v>67.2880603639592</v>
      </c>
      <c r="E180" s="5" t="n">
        <v>76.7345</v>
      </c>
      <c r="F180" s="5" t="n">
        <v>0.53</v>
      </c>
      <c r="G180" s="5" t="n">
        <v>0.068194089</v>
      </c>
      <c r="H180" s="5" t="n">
        <v>13.41315789473684</v>
      </c>
      <c r="I180" s="5" t="n">
        <v>93.18594252758307</v>
      </c>
      <c r="J180" s="5" t="n">
        <v>91.3</v>
      </c>
      <c r="K180" s="5" t="n">
        <v>94.015</v>
      </c>
      <c r="L180" s="5" t="n">
        <v>1.98</v>
      </c>
      <c r="M180" s="5" t="n">
        <v>0.3280000000000003</v>
      </c>
      <c r="N180" s="5" t="n">
        <v>1097.11</v>
      </c>
      <c r="O180" s="5" t="n">
        <v>104.9105987548828</v>
      </c>
    </row>
    <row r="181">
      <c r="A181" s="3" t="n">
        <v>41974</v>
      </c>
      <c r="B181" s="4" t="inlineStr">
        <is>
          <t>2014m12</t>
        </is>
      </c>
      <c r="C181" s="5" t="n">
        <v>103.7044</v>
      </c>
      <c r="D181" s="5" t="n">
        <v>67.9982245894363</v>
      </c>
      <c r="E181" s="5" t="n">
        <v>60.51727272727273</v>
      </c>
      <c r="F181" s="5" t="n">
        <v>0.64</v>
      </c>
      <c r="G181" s="5" t="n">
        <v>0.08655484300000001</v>
      </c>
      <c r="H181" s="5" t="n">
        <v>16.29227272727273</v>
      </c>
      <c r="I181" s="5" t="n">
        <v>87.41532796064575</v>
      </c>
      <c r="J181" s="5" t="n">
        <v>91.5</v>
      </c>
      <c r="K181" s="5" t="n">
        <v>94.006</v>
      </c>
      <c r="L181" s="5" t="n">
        <v>1.99</v>
      </c>
      <c r="M181" s="5" t="n">
        <v>0.3170000000000002</v>
      </c>
      <c r="N181" s="5" t="n">
        <v>1103.604761904762</v>
      </c>
      <c r="O181" s="5" t="n">
        <v>107.761360168457</v>
      </c>
    </row>
    <row r="182">
      <c r="A182" s="3" t="n">
        <v>42005</v>
      </c>
      <c r="B182" s="4" t="inlineStr">
        <is>
          <t>2015m1</t>
        </is>
      </c>
      <c r="C182" s="5" t="n">
        <v>102.8905</v>
      </c>
      <c r="D182" s="5" t="n">
        <v>67.9982245894363</v>
      </c>
      <c r="E182" s="5" t="n">
        <v>45.97714285714286</v>
      </c>
      <c r="F182" s="5" t="n">
        <v>0.55</v>
      </c>
      <c r="G182" s="5" t="n">
        <v>-0.040918854</v>
      </c>
      <c r="H182" s="5" t="n">
        <v>19.1195</v>
      </c>
      <c r="I182" s="5" t="n">
        <v>120.5442299517184</v>
      </c>
      <c r="J182" s="5" t="n">
        <v>91.5</v>
      </c>
      <c r="K182" s="5" t="n">
        <v>94.643</v>
      </c>
      <c r="L182" s="5" t="n">
        <v>1.989047619047619</v>
      </c>
      <c r="M182" s="5" t="n">
        <v>0.3169999999999997</v>
      </c>
      <c r="N182" s="5" t="n">
        <v>1088.47619047619</v>
      </c>
      <c r="O182" s="5" t="n">
        <v>165.8157958984375</v>
      </c>
    </row>
    <row r="183">
      <c r="A183" s="3" t="n">
        <v>42036</v>
      </c>
      <c r="B183" s="4" t="inlineStr">
        <is>
          <t>2015m2</t>
        </is>
      </c>
      <c r="C183" s="5" t="n">
        <v>102.2335</v>
      </c>
      <c r="D183" s="5" t="n">
        <v>68.3533067021749</v>
      </c>
      <c r="E183" s="5" t="n">
        <v>55.82555555555555</v>
      </c>
      <c r="F183" s="5" t="n">
        <v>0.62</v>
      </c>
      <c r="G183" s="5" t="n">
        <v>-0.293370049</v>
      </c>
      <c r="H183" s="5" t="n">
        <v>15.90421052631579</v>
      </c>
      <c r="I183" s="5" t="n">
        <v>87.60946941534985</v>
      </c>
      <c r="J183" s="5" t="n">
        <v>92.8</v>
      </c>
      <c r="K183" s="5" t="n">
        <v>94.587</v>
      </c>
      <c r="L183" s="5" t="n">
        <v>1.985294117647059</v>
      </c>
      <c r="M183" s="5" t="n">
        <v>0.2759999999999998</v>
      </c>
      <c r="N183" s="5" t="n">
        <v>1098.376470588235</v>
      </c>
      <c r="O183" s="5" t="n">
        <v>125.8762664794922</v>
      </c>
    </row>
    <row r="184">
      <c r="A184" s="3" t="n">
        <v>42064</v>
      </c>
      <c r="B184" s="4" t="inlineStr">
        <is>
          <t>2015m3</t>
        </is>
      </c>
      <c r="C184" s="5" t="n">
        <v>101.8914</v>
      </c>
      <c r="D184" s="5" t="n">
        <v>67.820683533067</v>
      </c>
      <c r="E184" s="5" t="n">
        <v>54.90909090909091</v>
      </c>
      <c r="F184" s="5" t="n">
        <v>0.64</v>
      </c>
      <c r="G184" s="5" t="n">
        <v>-0.130191709</v>
      </c>
      <c r="H184" s="5" t="n">
        <v>14.81272727272727</v>
      </c>
      <c r="I184" s="5" t="n">
        <v>95.97896260680174</v>
      </c>
      <c r="J184" s="5" t="n">
        <v>92.09999999999999</v>
      </c>
      <c r="K184" s="5" t="n">
        <v>94.596</v>
      </c>
      <c r="L184" s="5" t="n">
        <v>1.826363636363636</v>
      </c>
      <c r="M184" s="5" t="n">
        <v>0.2630000000000001</v>
      </c>
      <c r="N184" s="5" t="n">
        <v>1113.054545454545</v>
      </c>
      <c r="O184" s="5" t="n">
        <v>97.98577880859375</v>
      </c>
    </row>
    <row r="185">
      <c r="A185" s="3" t="n">
        <v>42095</v>
      </c>
      <c r="B185" s="4" t="inlineStr">
        <is>
          <t>2015m4</t>
        </is>
      </c>
      <c r="C185" s="5" t="n">
        <v>101.3355</v>
      </c>
      <c r="D185" s="5" t="n">
        <v>68.70838881491341</v>
      </c>
      <c r="E185" s="5" t="n">
        <v>58.80476190476191</v>
      </c>
      <c r="F185" s="5" t="n">
        <v>0.54</v>
      </c>
      <c r="G185" s="5" t="n">
        <v>0.010819788</v>
      </c>
      <c r="H185" s="5" t="n">
        <v>13.4947619047619</v>
      </c>
      <c r="I185" s="5" t="n">
        <v>103.5449569820734</v>
      </c>
      <c r="J185" s="5" t="n">
        <v>92.8</v>
      </c>
      <c r="K185" s="5" t="n">
        <v>94.625</v>
      </c>
      <c r="L185" s="5" t="n">
        <v>1.731818181818182</v>
      </c>
      <c r="M185" s="5" t="n">
        <v>0.2489999999999999</v>
      </c>
      <c r="N185" s="5" t="n">
        <v>1085.895454545455</v>
      </c>
      <c r="O185" s="5" t="n">
        <v>76.98116302490234</v>
      </c>
    </row>
    <row r="186">
      <c r="A186" s="3" t="n">
        <v>42125</v>
      </c>
      <c r="B186" s="4" t="inlineStr">
        <is>
          <t>2015m5</t>
        </is>
      </c>
      <c r="C186" s="5" t="n">
        <v>100.8883</v>
      </c>
      <c r="D186" s="5" t="n">
        <v>69.06347092765201</v>
      </c>
      <c r="E186" s="5" t="n">
        <v>63.6895</v>
      </c>
      <c r="F186" s="5" t="n">
        <v>0.61</v>
      </c>
      <c r="G186" s="5" t="n">
        <v>0.057198008</v>
      </c>
      <c r="H186" s="5" t="n">
        <v>13.3385</v>
      </c>
      <c r="I186" s="5" t="n">
        <v>102.3186965021414</v>
      </c>
      <c r="J186" s="5" t="n">
        <v>91.7</v>
      </c>
      <c r="K186" s="5" t="n">
        <v>94.89</v>
      </c>
      <c r="L186" s="5" t="n">
        <v>1.736666666666667</v>
      </c>
      <c r="M186" s="5" t="n">
        <v>0.2400000000000002</v>
      </c>
      <c r="N186" s="5" t="n">
        <v>1093.027777777778</v>
      </c>
      <c r="O186" s="5" t="n">
        <v>87.52241516113281</v>
      </c>
    </row>
    <row r="187">
      <c r="A187" s="3" t="n">
        <v>42156</v>
      </c>
      <c r="B187" s="4" t="inlineStr">
        <is>
          <t>2015m6</t>
        </is>
      </c>
      <c r="C187" s="5" t="n">
        <v>100.571</v>
      </c>
      <c r="D187" s="5" t="n">
        <v>69.41855304039061</v>
      </c>
      <c r="E187" s="5" t="n">
        <v>61.77714285714286</v>
      </c>
      <c r="F187" s="5" t="n">
        <v>0.6899999999999999</v>
      </c>
      <c r="G187" s="5" t="n">
        <v>0.1546801573253722</v>
      </c>
      <c r="H187" s="5" t="n">
        <v>14.33954545454546</v>
      </c>
      <c r="I187" s="5" t="n">
        <v>115.8802866512416</v>
      </c>
      <c r="J187" s="5" t="n">
        <v>92.3</v>
      </c>
      <c r="K187" s="5" t="n">
        <v>94.90900000000001</v>
      </c>
      <c r="L187" s="5" t="n">
        <v>1.578636363636363</v>
      </c>
      <c r="M187" s="5" t="n">
        <v>0.2390000000000001</v>
      </c>
      <c r="N187" s="5" t="n">
        <v>1112.440909090909</v>
      </c>
      <c r="O187" s="5" t="n">
        <v>130.5537719726562</v>
      </c>
    </row>
    <row r="188">
      <c r="A188" s="3" t="n">
        <v>42186</v>
      </c>
      <c r="B188" s="4" t="inlineStr">
        <is>
          <t>2015m7</t>
        </is>
      </c>
      <c r="C188" s="5" t="n">
        <v>101.2228</v>
      </c>
      <c r="D188" s="5" t="n">
        <v>69.77363515312921</v>
      </c>
      <c r="E188" s="5" t="n">
        <v>56.26608695652173</v>
      </c>
      <c r="F188" s="5" t="n">
        <v>0.67</v>
      </c>
      <c r="G188" s="5" t="n">
        <v>0.2157638390385221</v>
      </c>
      <c r="H188" s="5" t="n">
        <v>14.35272727272727</v>
      </c>
      <c r="I188" s="5" t="n">
        <v>98.73479281421763</v>
      </c>
      <c r="J188" s="5" t="n">
        <v>92.40000000000001</v>
      </c>
      <c r="K188" s="5" t="n">
        <v>95.08</v>
      </c>
      <c r="L188" s="5" t="n">
        <v>1.483478260869565</v>
      </c>
      <c r="M188" s="5" t="n">
        <v>0.224</v>
      </c>
      <c r="N188" s="5" t="n">
        <v>1146.160869565217</v>
      </c>
      <c r="O188" s="5" t="n">
        <v>126.2726211547852</v>
      </c>
    </row>
    <row r="189">
      <c r="A189" s="3" t="n">
        <v>42217</v>
      </c>
      <c r="B189" s="4" t="inlineStr">
        <is>
          <t>2015m8</t>
        </is>
      </c>
      <c r="C189" s="5" t="n">
        <v>101.0367</v>
      </c>
      <c r="D189" s="5" t="n">
        <v>70.12871726586771</v>
      </c>
      <c r="E189" s="5" t="n">
        <v>47.21842105263158</v>
      </c>
      <c r="F189" s="5" t="n">
        <v>0.7</v>
      </c>
      <c r="G189" s="5" t="n">
        <v>0.4058259474624996</v>
      </c>
      <c r="H189" s="5" t="n">
        <v>19.42809523809524</v>
      </c>
      <c r="I189" s="5" t="n">
        <v>156.5036297684981</v>
      </c>
      <c r="J189" s="5" t="n">
        <v>93.90000000000001</v>
      </c>
      <c r="K189" s="5" t="n">
        <v>95.21299999999999</v>
      </c>
      <c r="L189" s="5" t="n">
        <v>1.4935</v>
      </c>
      <c r="M189" s="5" t="n">
        <v>0.2449999999999999</v>
      </c>
      <c r="N189" s="5" t="n">
        <v>1180.04</v>
      </c>
      <c r="O189" s="5" t="n">
        <v>144.3470764160156</v>
      </c>
    </row>
    <row r="190">
      <c r="A190" s="3" t="n">
        <v>42248</v>
      </c>
      <c r="B190" s="4" t="inlineStr">
        <is>
          <t>2015m9</t>
        </is>
      </c>
      <c r="C190" s="5" t="n">
        <v>100.7547</v>
      </c>
      <c r="D190" s="5" t="n">
        <v>70.48379937860631</v>
      </c>
      <c r="E190" s="5" t="n">
        <v>46.149</v>
      </c>
      <c r="F190" s="5" t="n">
        <v>0.71</v>
      </c>
      <c r="G190" s="5" t="n">
        <v>0.5449382426337137</v>
      </c>
      <c r="H190" s="5" t="n">
        <v>24.37714285714286</v>
      </c>
      <c r="I190" s="5" t="n">
        <v>171.9326776079735</v>
      </c>
      <c r="J190" s="5" t="n">
        <v>94.90000000000001</v>
      </c>
      <c r="K190" s="5" t="n">
        <v>94.96599999999999</v>
      </c>
      <c r="L190" s="5" t="n">
        <v>1.481</v>
      </c>
      <c r="M190" s="5" t="n">
        <v>0.2949999999999999</v>
      </c>
      <c r="N190" s="5" t="n">
        <v>1185.055</v>
      </c>
      <c r="O190" s="5" t="n">
        <v>190.6709442138672</v>
      </c>
    </row>
    <row r="191">
      <c r="A191" s="3" t="n">
        <v>42278</v>
      </c>
      <c r="B191" s="4" t="inlineStr">
        <is>
          <t>2015m10</t>
        </is>
      </c>
      <c r="C191" s="5" t="n">
        <v>100.2675</v>
      </c>
      <c r="D191" s="5" t="n">
        <v>70.83888149134491</v>
      </c>
      <c r="E191" s="5" t="n">
        <v>46.55181818181818</v>
      </c>
      <c r="F191" s="5" t="n">
        <v>0.64</v>
      </c>
      <c r="G191" s="5" t="n">
        <v>0.4315476160146208</v>
      </c>
      <c r="H191" s="5" t="n">
        <v>16.78954545454545</v>
      </c>
      <c r="I191" s="5" t="n">
        <v>110.7019377382614</v>
      </c>
      <c r="J191" s="5" t="n">
        <v>94</v>
      </c>
      <c r="K191" s="5" t="n">
        <v>94.96599999999999</v>
      </c>
      <c r="L191" s="5" t="n">
        <v>1.483333333333333</v>
      </c>
      <c r="M191" s="5" t="n">
        <v>0.335</v>
      </c>
      <c r="N191" s="5" t="n">
        <v>1144.804761904762</v>
      </c>
      <c r="O191" s="5" t="n">
        <v>126.6414031982422</v>
      </c>
    </row>
    <row r="192">
      <c r="A192" s="3" t="n">
        <v>42309</v>
      </c>
      <c r="B192" s="4" t="inlineStr">
        <is>
          <t>2015m11</t>
        </is>
      </c>
      <c r="C192" s="5" t="n">
        <v>99.52979999999999</v>
      </c>
      <c r="D192" s="5" t="n">
        <v>71.3715046604527</v>
      </c>
      <c r="E192" s="5" t="n">
        <v>42.221</v>
      </c>
      <c r="F192" s="5" t="n">
        <v>0.88</v>
      </c>
      <c r="G192" s="5" t="n">
        <v>0.5185791529452692</v>
      </c>
      <c r="H192" s="5" t="n">
        <v>16.21</v>
      </c>
      <c r="I192" s="5" t="n">
        <v>89.58371043936737</v>
      </c>
      <c r="J192" s="5" t="n">
        <v>94</v>
      </c>
      <c r="K192" s="5" t="n">
        <v>94.786</v>
      </c>
      <c r="L192" s="5" t="n">
        <v>1.493333333333333</v>
      </c>
      <c r="M192" s="5" t="n">
        <v>0.3659999999999999</v>
      </c>
      <c r="N192" s="5" t="n">
        <v>1153.347619047619</v>
      </c>
      <c r="O192" s="5" t="n">
        <v>94.25080108642578</v>
      </c>
    </row>
    <row r="193">
      <c r="A193" s="3" t="n">
        <v>42339</v>
      </c>
      <c r="B193" s="4" t="inlineStr">
        <is>
          <t>2015m12</t>
        </is>
      </c>
      <c r="C193" s="5" t="n">
        <v>99.04170000000001</v>
      </c>
      <c r="D193" s="5" t="n">
        <v>71.90412782956059</v>
      </c>
      <c r="E193" s="5" t="n">
        <v>34.77090909090909</v>
      </c>
      <c r="F193" s="5" t="n">
        <v>0.98</v>
      </c>
      <c r="G193" s="5" t="n">
        <v>0.6879811691147055</v>
      </c>
      <c r="H193" s="5" t="n">
        <v>18.02545454545455</v>
      </c>
      <c r="I193" s="5" t="n">
        <v>101.9634328516299</v>
      </c>
      <c r="J193" s="5" t="n">
        <v>94.59999999999999</v>
      </c>
      <c r="K193" s="5" t="n">
        <v>95.06999999999999</v>
      </c>
      <c r="L193" s="5" t="n">
        <v>1.470909090909091</v>
      </c>
      <c r="M193" s="5" t="n">
        <v>0.4239999999999997</v>
      </c>
      <c r="N193" s="5" t="n">
        <v>1173.204761904762</v>
      </c>
      <c r="O193" s="5" t="n">
        <v>172.0449981689453</v>
      </c>
    </row>
    <row r="194">
      <c r="A194" s="3" t="n">
        <v>42370</v>
      </c>
      <c r="B194" s="4" t="inlineStr">
        <is>
          <t>2016m1</t>
        </is>
      </c>
      <c r="C194" s="5" t="n">
        <v>99.5607</v>
      </c>
      <c r="D194" s="5" t="n">
        <v>71.90412782956059</v>
      </c>
      <c r="E194" s="5" t="n">
        <v>27.0025</v>
      </c>
      <c r="F194" s="5" t="n">
        <v>0.9</v>
      </c>
      <c r="G194" s="5" t="n">
        <v>0.9241442585253732</v>
      </c>
      <c r="H194" s="5" t="n">
        <v>23.7178947368421</v>
      </c>
      <c r="I194" s="5" t="n">
        <v>154.8573305883009</v>
      </c>
      <c r="J194" s="5" t="n">
        <v>93.59999999999999</v>
      </c>
      <c r="K194" s="5" t="n">
        <v>95.232</v>
      </c>
      <c r="L194" s="5" t="n">
        <v>1.489</v>
      </c>
      <c r="M194" s="5" t="n">
        <v>0.4630000000000003</v>
      </c>
      <c r="N194" s="5" t="n">
        <v>1203.79</v>
      </c>
      <c r="O194" s="5" t="n">
        <v>181.939767789866</v>
      </c>
    </row>
    <row r="195">
      <c r="A195" s="3" t="n">
        <v>42401</v>
      </c>
      <c r="B195" s="4" t="inlineStr">
        <is>
          <t>2016m2</t>
        </is>
      </c>
      <c r="C195" s="5" t="n">
        <v>99.0445</v>
      </c>
      <c r="D195" s="5" t="n">
        <v>72.0816688859299</v>
      </c>
      <c r="E195" s="5" t="n">
        <v>29.49631578947369</v>
      </c>
      <c r="F195" s="5" t="n">
        <v>0.73</v>
      </c>
      <c r="G195" s="5" t="n">
        <v>0.9569058226820192</v>
      </c>
      <c r="H195" s="5" t="n">
        <v>22.517</v>
      </c>
      <c r="I195" s="5" t="n">
        <v>148.3217888430222</v>
      </c>
      <c r="J195" s="5" t="n">
        <v>94.59999999999999</v>
      </c>
      <c r="K195" s="5" t="n">
        <v>95.64</v>
      </c>
      <c r="L195" s="5" t="n">
        <v>1.487222222222222</v>
      </c>
      <c r="M195" s="5" t="n">
        <v>0.476</v>
      </c>
      <c r="N195" s="5" t="n">
        <v>1220.45</v>
      </c>
      <c r="O195" s="5" t="n">
        <v>166.5955244297357</v>
      </c>
    </row>
    <row r="196">
      <c r="A196" s="3" t="n">
        <v>42430</v>
      </c>
      <c r="B196" s="4" t="inlineStr">
        <is>
          <t>2016m3</t>
        </is>
      </c>
      <c r="C196" s="5" t="n">
        <v>98.3096</v>
      </c>
      <c r="D196" s="5" t="n">
        <v>72.25920994229919</v>
      </c>
      <c r="E196" s="5" t="n">
        <v>35.17545454545455</v>
      </c>
      <c r="F196" s="5" t="n">
        <v>0.88</v>
      </c>
      <c r="G196" s="5" t="n">
        <v>0.5910173569759349</v>
      </c>
      <c r="H196" s="5" t="n">
        <v>15.84909090909091</v>
      </c>
      <c r="I196" s="5" t="n">
        <v>130.490159323843</v>
      </c>
      <c r="J196" s="5" t="n">
        <v>95.2</v>
      </c>
      <c r="K196" s="5" t="n">
        <v>95.393</v>
      </c>
      <c r="L196" s="5" t="n">
        <v>1.490909090909091</v>
      </c>
      <c r="M196" s="5" t="n">
        <v>0.4810000000000001</v>
      </c>
      <c r="N196" s="5" t="n">
        <v>1182.154545454546</v>
      </c>
      <c r="O196" s="5" t="n">
        <v>112.4348088451815</v>
      </c>
    </row>
    <row r="197">
      <c r="A197" s="3" t="n">
        <v>42461</v>
      </c>
      <c r="B197" s="4" t="inlineStr">
        <is>
          <t>2016m4</t>
        </is>
      </c>
      <c r="C197" s="5" t="n">
        <v>98.6421</v>
      </c>
      <c r="D197" s="5" t="n">
        <v>72.791833111407</v>
      </c>
      <c r="E197" s="5" t="n">
        <v>39.03761904761905</v>
      </c>
      <c r="F197" s="5" t="n">
        <v>0.77</v>
      </c>
      <c r="G197" s="5" t="n">
        <v>0.2451915127497592</v>
      </c>
      <c r="H197" s="5" t="n">
        <v>14.30047619047619</v>
      </c>
      <c r="I197" s="5" t="n">
        <v>96.41341581246452</v>
      </c>
      <c r="J197" s="5" t="n">
        <v>94.8</v>
      </c>
      <c r="K197" s="5" t="n">
        <v>95.57299999999999</v>
      </c>
      <c r="L197" s="5" t="n">
        <v>1.484</v>
      </c>
      <c r="M197" s="5" t="n">
        <v>0.472</v>
      </c>
      <c r="N197" s="5" t="n">
        <v>1146.71</v>
      </c>
      <c r="O197" s="5" t="n">
        <v>100.9960257879315</v>
      </c>
    </row>
    <row r="198">
      <c r="A198" s="3" t="n">
        <v>42491</v>
      </c>
      <c r="B198" s="4" t="inlineStr">
        <is>
          <t>2016m5</t>
        </is>
      </c>
      <c r="C198" s="5" t="n">
        <v>98.41840000000001</v>
      </c>
      <c r="D198" s="5" t="n">
        <v>73.32445628051489</v>
      </c>
      <c r="E198" s="5" t="n">
        <v>43.9547619047619</v>
      </c>
      <c r="F198" s="5" t="n">
        <v>0.82</v>
      </c>
      <c r="G198" s="5" t="n">
        <v>0.259048247220333</v>
      </c>
      <c r="H198" s="5" t="n">
        <v>14.85285714285714</v>
      </c>
      <c r="I198" s="5" t="n">
        <v>96.22233274231513</v>
      </c>
      <c r="J198" s="5" t="n">
        <v>96.09999999999999</v>
      </c>
      <c r="K198" s="5" t="n">
        <v>95.63</v>
      </c>
      <c r="L198" s="5" t="n">
        <v>1.4895</v>
      </c>
      <c r="M198" s="5" t="n">
        <v>0.4549999999999998</v>
      </c>
      <c r="N198" s="5" t="n">
        <v>1174.575</v>
      </c>
      <c r="O198" s="5" t="n">
        <v>103.9214400662336</v>
      </c>
    </row>
    <row r="199">
      <c r="A199" s="3" t="n">
        <v>42522</v>
      </c>
      <c r="B199" s="4" t="inlineStr">
        <is>
          <t>2016m6</t>
        </is>
      </c>
      <c r="C199" s="5" t="n">
        <v>98.88330000000001</v>
      </c>
      <c r="D199" s="5" t="n">
        <v>73.5019973368841</v>
      </c>
      <c r="E199" s="5" t="n">
        <v>45.83454545454546</v>
      </c>
      <c r="F199" s="5" t="n">
        <v>0.73</v>
      </c>
      <c r="G199" s="5" t="n">
        <v>0.06615263</v>
      </c>
      <c r="H199" s="5" t="n">
        <v>17.77454545454546</v>
      </c>
      <c r="I199" s="5" t="n">
        <v>233.9561029807024</v>
      </c>
      <c r="J199" s="5" t="n">
        <v>96.5</v>
      </c>
      <c r="K199" s="5" t="n">
        <v>95.611</v>
      </c>
      <c r="L199" s="5" t="n">
        <v>1.295238095238095</v>
      </c>
      <c r="M199" s="5" t="n">
        <v>0.4549999999999998</v>
      </c>
      <c r="N199" s="5" t="n">
        <v>1168.357142857143</v>
      </c>
      <c r="O199" s="5" t="n">
        <v>274.8091195154009</v>
      </c>
    </row>
    <row r="200">
      <c r="A200" s="3" t="n">
        <v>42552</v>
      </c>
      <c r="B200" s="4" t="inlineStr">
        <is>
          <t>2016m7</t>
        </is>
      </c>
      <c r="C200" s="5" t="n">
        <v>98.9992</v>
      </c>
      <c r="D200" s="5" t="n">
        <v>74.034620505992</v>
      </c>
      <c r="E200" s="5" t="n">
        <v>42.6235</v>
      </c>
      <c r="F200" s="5" t="n">
        <v>0.67</v>
      </c>
      <c r="G200" s="5" t="n">
        <v>0.015588451</v>
      </c>
      <c r="H200" s="5" t="n">
        <v>13.1585</v>
      </c>
      <c r="I200" s="5" t="n">
        <v>164.458400529457</v>
      </c>
      <c r="J200" s="5" t="n">
        <v>95.90000000000001</v>
      </c>
      <c r="K200" s="5" t="n">
        <v>95.431</v>
      </c>
      <c r="L200" s="5" t="n">
        <v>1.226190476190476</v>
      </c>
      <c r="M200" s="5" t="n">
        <v>0.4319999999999999</v>
      </c>
      <c r="N200" s="5" t="n">
        <v>1141.695238095238</v>
      </c>
      <c r="O200" s="5" t="n">
        <v>214.1075253054451</v>
      </c>
    </row>
    <row r="201">
      <c r="A201" s="3" t="n">
        <v>42583</v>
      </c>
      <c r="B201" s="4" t="inlineStr">
        <is>
          <t>2016m8</t>
        </is>
      </c>
      <c r="C201" s="5" t="n">
        <v>98.84999999999999</v>
      </c>
      <c r="D201" s="5" t="n">
        <v>74.5672436750999</v>
      </c>
      <c r="E201" s="5" t="n">
        <v>43.735</v>
      </c>
      <c r="F201" s="5" t="n">
        <v>0.74</v>
      </c>
      <c r="G201" s="5" t="n">
        <v>-0.010384168</v>
      </c>
      <c r="H201" s="5" t="n">
        <v>12.3995652173913</v>
      </c>
      <c r="I201" s="5" t="n">
        <v>106.8856227880738</v>
      </c>
      <c r="J201" s="5" t="n">
        <v>96.40000000000001</v>
      </c>
      <c r="K201" s="5" t="n">
        <v>95.67700000000001</v>
      </c>
      <c r="L201" s="5" t="n">
        <v>1.233181818181818</v>
      </c>
      <c r="M201" s="5" t="n">
        <v>0.407</v>
      </c>
      <c r="N201" s="5" t="n">
        <v>1111.422727272727</v>
      </c>
      <c r="O201" s="5" t="n">
        <v>101.3116406602054</v>
      </c>
    </row>
    <row r="202">
      <c r="A202" s="3" t="n">
        <v>42614</v>
      </c>
      <c r="B202" s="4" t="inlineStr">
        <is>
          <t>2016m9</t>
        </is>
      </c>
      <c r="C202" s="5" t="n">
        <v>98.7457</v>
      </c>
      <c r="D202" s="5" t="n">
        <v>74.7447847314692</v>
      </c>
      <c r="E202" s="5" t="n">
        <v>43.73857142857143</v>
      </c>
      <c r="F202" s="5" t="n">
        <v>0.77</v>
      </c>
      <c r="G202" s="5" t="n">
        <v>-0.06560740499999999</v>
      </c>
      <c r="H202" s="5" t="n">
        <v>14.21952380952381</v>
      </c>
      <c r="I202" s="5" t="n">
        <v>86.34353837572384</v>
      </c>
      <c r="J202" s="5" t="n">
        <v>96.2</v>
      </c>
      <c r="K202" s="5" t="n">
        <v>96.247</v>
      </c>
      <c r="L202" s="5" t="n">
        <v>1.241052631578947</v>
      </c>
      <c r="M202" s="5" t="n">
        <v>0.3919999999999999</v>
      </c>
      <c r="N202" s="5" t="n">
        <v>1106.773684210526</v>
      </c>
      <c r="O202" s="5" t="n">
        <v>123.5489835448128</v>
      </c>
    </row>
    <row r="203">
      <c r="A203" s="3" t="n">
        <v>42644</v>
      </c>
      <c r="B203" s="4" t="inlineStr">
        <is>
          <t>2016m10</t>
        </is>
      </c>
      <c r="C203" s="5" t="n">
        <v>98.7611</v>
      </c>
      <c r="D203" s="5" t="n">
        <v>75.277407900577</v>
      </c>
      <c r="E203" s="5" t="n">
        <v>48.26333333333334</v>
      </c>
      <c r="F203" s="5" t="n">
        <v>0.84</v>
      </c>
      <c r="G203" s="5" t="n">
        <v>-0.064113857</v>
      </c>
      <c r="H203" s="5" t="n">
        <v>14.5852380952381</v>
      </c>
      <c r="I203" s="5" t="n">
        <v>108.06412479275</v>
      </c>
      <c r="J203" s="5" t="n">
        <v>95.5</v>
      </c>
      <c r="K203" s="5" t="n">
        <v>96.379</v>
      </c>
      <c r="L203" s="5" t="n">
        <v>1.233</v>
      </c>
      <c r="M203" s="5" t="n">
        <v>0.4199999999999999</v>
      </c>
      <c r="N203" s="5" t="n">
        <v>1127.645</v>
      </c>
      <c r="O203" s="5" t="n">
        <v>122.1712473435423</v>
      </c>
    </row>
    <row r="204">
      <c r="A204" s="3" t="n">
        <v>42675</v>
      </c>
      <c r="B204" s="4" t="inlineStr">
        <is>
          <t>2016m11</t>
        </is>
      </c>
      <c r="C204" s="5" t="n">
        <v>98.34910000000001</v>
      </c>
      <c r="D204" s="5" t="n">
        <v>75.8100310696849</v>
      </c>
      <c r="E204" s="5" t="n">
        <v>43.775</v>
      </c>
      <c r="F204" s="5" t="n">
        <v>0.98</v>
      </c>
      <c r="G204" s="5" t="n">
        <v>-0.752725351</v>
      </c>
      <c r="H204" s="5" t="n">
        <v>15.23619047619048</v>
      </c>
      <c r="I204" s="5" t="n">
        <v>254.1013277977594</v>
      </c>
      <c r="J204" s="5" t="n">
        <v>97.40000000000001</v>
      </c>
      <c r="K204" s="5" t="n">
        <v>96.23699999999999</v>
      </c>
      <c r="L204" s="5" t="n">
        <v>1.226818181818182</v>
      </c>
      <c r="M204" s="5" t="n">
        <v>0.4119999999999999</v>
      </c>
      <c r="N204" s="5" t="n">
        <v>1163.222727272727</v>
      </c>
      <c r="O204" s="5" t="n">
        <v>387.9708218573296</v>
      </c>
    </row>
    <row r="205">
      <c r="A205" s="3" t="n">
        <v>42705</v>
      </c>
      <c r="B205" s="4" t="inlineStr">
        <is>
          <t>2016m12</t>
        </is>
      </c>
      <c r="C205" s="5" t="n">
        <v>99.0214</v>
      </c>
      <c r="D205" s="5" t="n">
        <v>76.3426542387927</v>
      </c>
      <c r="E205" s="5" t="n">
        <v>51.77761904761904</v>
      </c>
      <c r="F205" s="5" t="n">
        <v>1.2</v>
      </c>
      <c r="G205" s="5" t="n">
        <v>-0.235344144</v>
      </c>
      <c r="H205" s="5" t="n">
        <v>12.47238095238095</v>
      </c>
      <c r="I205" s="5" t="n">
        <v>161.4247861796474</v>
      </c>
      <c r="J205" s="5" t="n">
        <v>97.2</v>
      </c>
      <c r="K205" s="5" t="n">
        <v>96.342</v>
      </c>
      <c r="L205" s="5" t="n">
        <v>1.223636363636364</v>
      </c>
      <c r="M205" s="5" t="n">
        <v>0.47</v>
      </c>
      <c r="N205" s="5" t="n">
        <v>1183.3</v>
      </c>
      <c r="O205" s="5" t="n">
        <v>375.9069744907727</v>
      </c>
    </row>
    <row r="206">
      <c r="A206" s="3" t="n">
        <v>42736</v>
      </c>
      <c r="B206" s="4" t="inlineStr">
        <is>
          <t>2017m1</t>
        </is>
      </c>
      <c r="C206" s="5" t="n">
        <v>98.7611</v>
      </c>
      <c r="D206" s="5" t="n">
        <v>76.520195295162</v>
      </c>
      <c r="E206" s="5" t="n">
        <v>53.367</v>
      </c>
      <c r="F206" s="5" t="n">
        <v>1.21</v>
      </c>
      <c r="G206" s="5" t="n">
        <v>-0.187126776</v>
      </c>
      <c r="H206" s="5" t="n">
        <v>11.6085</v>
      </c>
      <c r="I206" s="5" t="n">
        <v>195.0406301487559</v>
      </c>
      <c r="J206" s="5" t="n">
        <v>97.8</v>
      </c>
      <c r="K206" s="5" t="n">
        <v>97.366</v>
      </c>
      <c r="L206" s="5" t="n">
        <v>1.2425</v>
      </c>
      <c r="M206" s="5" t="n">
        <v>0.4610000000000001</v>
      </c>
      <c r="N206" s="5" t="n">
        <v>1182.235</v>
      </c>
      <c r="O206" s="5" t="n">
        <v>391.798399614048</v>
      </c>
    </row>
    <row r="207">
      <c r="A207" s="3" t="n">
        <v>42767</v>
      </c>
      <c r="B207" s="4" t="inlineStr">
        <is>
          <t>2017m2</t>
        </is>
      </c>
      <c r="C207" s="5" t="n">
        <v>98.3646</v>
      </c>
      <c r="D207" s="5" t="n">
        <v>76.8752774079006</v>
      </c>
      <c r="E207" s="5" t="n">
        <v>54.17100000000001</v>
      </c>
      <c r="F207" s="5" t="n">
        <v>1.2</v>
      </c>
      <c r="G207" s="5" t="n">
        <v>-0.173516699</v>
      </c>
      <c r="H207" s="5" t="n">
        <v>11.53052631578947</v>
      </c>
      <c r="I207" s="5" t="n">
        <v>177.7777170307839</v>
      </c>
      <c r="J207" s="5" t="n">
        <v>97.8</v>
      </c>
      <c r="K207" s="5" t="n">
        <v>97.63200000000001</v>
      </c>
      <c r="L207" s="5" t="n">
        <v>1.231</v>
      </c>
      <c r="M207" s="5" t="n">
        <v>0.4649999999999999</v>
      </c>
      <c r="N207" s="5" t="n">
        <v>1143.355</v>
      </c>
      <c r="O207" s="5" t="n">
        <v>299.6748469843062</v>
      </c>
    </row>
    <row r="208">
      <c r="A208" s="3" t="n">
        <v>42795</v>
      </c>
      <c r="B208" s="4" t="inlineStr">
        <is>
          <t>2017m3</t>
        </is>
      </c>
      <c r="C208" s="5" t="n">
        <v>99.0137</v>
      </c>
      <c r="D208" s="5" t="n">
        <v>77.5854416333777</v>
      </c>
      <c r="E208" s="5" t="n">
        <v>51.16434782608695</v>
      </c>
      <c r="F208" s="5" t="n">
        <v>1.31</v>
      </c>
      <c r="G208" s="5" t="n">
        <v>-0.161834774</v>
      </c>
      <c r="H208" s="5" t="n">
        <v>11.89782608695652</v>
      </c>
      <c r="I208" s="5" t="n">
        <v>154.6096950716648</v>
      </c>
      <c r="J208" s="5" t="n">
        <v>99.09999999999999</v>
      </c>
      <c r="K208" s="5" t="n">
        <v>97.565</v>
      </c>
      <c r="L208" s="5" t="n">
        <v>1.226818181818182</v>
      </c>
      <c r="M208" s="5" t="n">
        <v>0.4990000000000001</v>
      </c>
      <c r="N208" s="5" t="n">
        <v>1133.945454545455</v>
      </c>
      <c r="O208" s="5" t="n">
        <v>220.4021624557405</v>
      </c>
    </row>
    <row r="209">
      <c r="A209" s="3" t="n">
        <v>42826</v>
      </c>
      <c r="B209" s="4" t="inlineStr">
        <is>
          <t>2017m4</t>
        </is>
      </c>
      <c r="C209" s="5" t="n">
        <v>100.0224</v>
      </c>
      <c r="D209" s="5" t="n">
        <v>77.5854416333777</v>
      </c>
      <c r="E209" s="5" t="n">
        <v>52.44750000000001</v>
      </c>
      <c r="F209" s="5" t="n">
        <v>1.24</v>
      </c>
      <c r="G209" s="5" t="n">
        <v>-0.108480725</v>
      </c>
      <c r="H209" s="5" t="n">
        <v>13.13631578947368</v>
      </c>
      <c r="I209" s="5" t="n">
        <v>157.676522760486</v>
      </c>
      <c r="J209" s="5" t="n">
        <v>98.09999999999999</v>
      </c>
      <c r="K209" s="5" t="n">
        <v>97.44199999999999</v>
      </c>
      <c r="L209" s="5" t="n">
        <v>1.228</v>
      </c>
      <c r="M209" s="5" t="n">
        <v>0.5169999999999999</v>
      </c>
      <c r="N209" s="5" t="n">
        <v>1133.565</v>
      </c>
      <c r="O209" s="5" t="n">
        <v>165.3969514089343</v>
      </c>
    </row>
    <row r="210">
      <c r="A210" s="3" t="n">
        <v>42856</v>
      </c>
      <c r="B210" s="4" t="inlineStr">
        <is>
          <t>2017m5</t>
        </is>
      </c>
      <c r="C210" s="5" t="n">
        <v>100.1408</v>
      </c>
      <c r="D210" s="5" t="n">
        <v>77.9405237461163</v>
      </c>
      <c r="E210" s="5" t="n">
        <v>50.30954545454545</v>
      </c>
      <c r="F210" s="5" t="n">
        <v>1.3</v>
      </c>
      <c r="G210" s="5" t="n">
        <v>-0.156220275</v>
      </c>
      <c r="H210" s="5" t="n">
        <v>10.86227272727273</v>
      </c>
      <c r="I210" s="5" t="n">
        <v>129.8880577350944</v>
      </c>
      <c r="J210" s="5" t="n">
        <v>98.5</v>
      </c>
      <c r="K210" s="5" t="n">
        <v>97.54600000000001</v>
      </c>
      <c r="L210" s="5" t="n">
        <v>1.230526315789474</v>
      </c>
      <c r="M210" s="5" t="n">
        <v>0.5260000000000002</v>
      </c>
      <c r="N210" s="5" t="n">
        <v>1124.652631578947</v>
      </c>
      <c r="O210" s="5" t="n">
        <v>118.9620159721256</v>
      </c>
    </row>
    <row r="211">
      <c r="A211" s="3" t="n">
        <v>42887</v>
      </c>
      <c r="B211" s="4" t="inlineStr">
        <is>
          <t>2017m6</t>
        </is>
      </c>
      <c r="C211" s="5" t="n">
        <v>100.3471</v>
      </c>
      <c r="D211" s="5" t="n">
        <v>78.6506879715934</v>
      </c>
      <c r="E211" s="5" t="n">
        <v>46.44095238095238</v>
      </c>
      <c r="F211" s="5" t="n">
        <v>1.34</v>
      </c>
      <c r="G211" s="5" t="n">
        <v>-0.113845574</v>
      </c>
      <c r="H211" s="5" t="n">
        <v>10.51363636363636</v>
      </c>
      <c r="I211" s="5" t="n">
        <v>120.638462013977</v>
      </c>
      <c r="J211" s="5" t="n">
        <v>98.2</v>
      </c>
      <c r="K211" s="5" t="n">
        <v>97.33799999999999</v>
      </c>
      <c r="L211" s="5" t="n">
        <v>1.239523809523809</v>
      </c>
      <c r="M211" s="5" t="n">
        <v>0.5350000000000001</v>
      </c>
      <c r="N211" s="5" t="n">
        <v>1131.62380952381</v>
      </c>
      <c r="O211" s="5" t="n">
        <v>118.9507593646587</v>
      </c>
    </row>
    <row r="212">
      <c r="A212" s="3" t="n">
        <v>42917</v>
      </c>
      <c r="B212" s="4" t="inlineStr">
        <is>
          <t>2017m7</t>
        </is>
      </c>
      <c r="C212" s="5" t="n">
        <v>100.1068</v>
      </c>
      <c r="D212" s="5" t="n">
        <v>78.82822902796271</v>
      </c>
      <c r="E212" s="5" t="n">
        <v>47.63142857142857</v>
      </c>
      <c r="F212" s="5" t="n">
        <v>1.37</v>
      </c>
      <c r="G212" s="5" t="n">
        <v>-0.137932537</v>
      </c>
      <c r="H212" s="5" t="n">
        <v>10.2645</v>
      </c>
      <c r="I212" s="5" t="n">
        <v>141.1383349749601</v>
      </c>
      <c r="J212" s="5" t="n">
        <v>98.40000000000001</v>
      </c>
      <c r="K212" s="5" t="n">
        <v>97.499</v>
      </c>
      <c r="L212" s="5" t="n">
        <v>1.236666666666667</v>
      </c>
      <c r="M212" s="5" t="n">
        <v>0.538</v>
      </c>
      <c r="N212" s="5" t="n">
        <v>1133.128571428571</v>
      </c>
      <c r="O212" s="5" t="n">
        <v>97.31102291515812</v>
      </c>
    </row>
    <row r="213">
      <c r="A213" s="3" t="n">
        <v>42948</v>
      </c>
      <c r="B213" s="4" t="inlineStr">
        <is>
          <t>2017m8</t>
        </is>
      </c>
      <c r="C213" s="5" t="n">
        <v>99.6925</v>
      </c>
      <c r="D213" s="5" t="n">
        <v>79.005770084332</v>
      </c>
      <c r="E213" s="5" t="n">
        <v>50.42652173913043</v>
      </c>
      <c r="F213" s="5" t="n">
        <v>1.34</v>
      </c>
      <c r="G213" s="5" t="n">
        <v>-0.068943009</v>
      </c>
      <c r="H213" s="5" t="n">
        <v>11.97565217391304</v>
      </c>
      <c r="I213" s="5" t="n">
        <v>137.8597035673235</v>
      </c>
      <c r="J213" s="5" t="n">
        <v>98.8</v>
      </c>
      <c r="K213" s="5" t="n">
        <v>98.05800000000001</v>
      </c>
      <c r="L213" s="5" t="n">
        <v>1.227727272727273</v>
      </c>
      <c r="M213" s="5" t="n">
        <v>0.5399999999999998</v>
      </c>
      <c r="N213" s="5" t="n">
        <v>1131.404545454546</v>
      </c>
      <c r="O213" s="5" t="n">
        <v>90.0342941920303</v>
      </c>
    </row>
    <row r="214">
      <c r="A214" s="3" t="n">
        <v>42979</v>
      </c>
      <c r="B214" s="4" t="inlineStr">
        <is>
          <t>2017m9</t>
        </is>
      </c>
      <c r="C214" s="5" t="n">
        <v>99.7954</v>
      </c>
      <c r="D214" s="5" t="n">
        <v>79.53839325343981</v>
      </c>
      <c r="E214" s="5" t="n">
        <v>53.86190476190476</v>
      </c>
      <c r="F214" s="5" t="n">
        <v>1.38</v>
      </c>
      <c r="G214" s="5" t="n">
        <v>-0.249547708</v>
      </c>
      <c r="H214" s="5" t="n">
        <v>10.438</v>
      </c>
      <c r="I214" s="5" t="n">
        <v>116.6200174922449</v>
      </c>
      <c r="J214" s="5" t="n">
        <v>99.8</v>
      </c>
      <c r="K214" s="5" t="n">
        <v>98.172</v>
      </c>
      <c r="L214" s="5" t="n">
        <v>1.252857142857143</v>
      </c>
      <c r="M214" s="5" t="n">
        <v>0.5480000000000003</v>
      </c>
      <c r="N214" s="5" t="n">
        <v>1132.933333333333</v>
      </c>
      <c r="O214" s="5" t="n">
        <v>102.0899353256837</v>
      </c>
    </row>
    <row r="215">
      <c r="A215" s="3" t="n">
        <v>43009</v>
      </c>
      <c r="B215" s="4" t="inlineStr">
        <is>
          <t>2017m10</t>
        </is>
      </c>
      <c r="C215" s="5" t="n">
        <v>101.0247</v>
      </c>
      <c r="D215" s="5" t="n">
        <v>79.89347536617839</v>
      </c>
      <c r="E215" s="5" t="n">
        <v>55.5840909090909</v>
      </c>
      <c r="F215" s="5" t="n">
        <v>1.55</v>
      </c>
      <c r="G215" s="5" t="n">
        <v>-0.204151295</v>
      </c>
      <c r="H215" s="5" t="n">
        <v>10.12545454545455</v>
      </c>
      <c r="I215" s="5" t="n">
        <v>125.865843904908</v>
      </c>
      <c r="J215" s="5" t="n">
        <v>99</v>
      </c>
      <c r="K215" s="5" t="n">
        <v>98.077</v>
      </c>
      <c r="L215" s="5" t="n">
        <v>1.244375</v>
      </c>
      <c r="M215" s="5" t="n">
        <v>0.548</v>
      </c>
      <c r="N215" s="5" t="n">
        <v>1129.475</v>
      </c>
      <c r="O215" s="5" t="n">
        <v>120.3185530960521</v>
      </c>
    </row>
    <row r="216">
      <c r="A216" s="3" t="n">
        <v>43040</v>
      </c>
      <c r="B216" s="4" t="inlineStr">
        <is>
          <t>2017m11</t>
        </is>
      </c>
      <c r="C216" s="5" t="n">
        <v>101.2664</v>
      </c>
      <c r="D216" s="5" t="n">
        <v>80.60363959165559</v>
      </c>
      <c r="E216" s="5" t="n">
        <v>60.58272727272727</v>
      </c>
      <c r="F216" s="5" t="n">
        <v>1.7</v>
      </c>
      <c r="G216" s="5" t="n">
        <v>-0.121285792</v>
      </c>
      <c r="H216" s="5" t="n">
        <v>10.54047619047619</v>
      </c>
      <c r="I216" s="5" t="n">
        <v>111.2826864575013</v>
      </c>
      <c r="J216" s="5" t="n">
        <v>99.40000000000001</v>
      </c>
      <c r="K216" s="5" t="n">
        <v>97.34699999999999</v>
      </c>
      <c r="L216" s="5" t="n">
        <v>1.257727272727273</v>
      </c>
      <c r="M216" s="5" t="n">
        <v>0.5590000000000002</v>
      </c>
      <c r="N216" s="5" t="n">
        <v>1102.822727272727</v>
      </c>
      <c r="O216" s="5" t="n">
        <v>93.28915902704856</v>
      </c>
    </row>
    <row r="217">
      <c r="A217" s="3" t="n">
        <v>43070</v>
      </c>
      <c r="B217" s="4" t="inlineStr">
        <is>
          <t>2017m12</t>
        </is>
      </c>
      <c r="C217" s="5" t="n">
        <v>101.4644</v>
      </c>
      <c r="D217" s="5" t="n">
        <v>81.31380381713269</v>
      </c>
      <c r="E217" s="5" t="n">
        <v>61.414</v>
      </c>
      <c r="F217" s="5" t="n">
        <v>1.84</v>
      </c>
      <c r="G217" s="5" t="n">
        <v>-0.187660282</v>
      </c>
      <c r="H217" s="5" t="n">
        <v>10.2645</v>
      </c>
      <c r="I217" s="5" t="n">
        <v>140.3501816320869</v>
      </c>
      <c r="J217" s="5" t="n">
        <v>98.7</v>
      </c>
      <c r="K217" s="5" t="n">
        <v>97.69799999999999</v>
      </c>
      <c r="L217" s="5" t="n">
        <v>1.5085</v>
      </c>
      <c r="M217" s="5" t="n">
        <v>0.5489999999999999</v>
      </c>
      <c r="N217" s="5" t="n">
        <v>1085.952631578947</v>
      </c>
      <c r="O217" s="5" t="n">
        <v>111.0299851347861</v>
      </c>
    </row>
    <row r="218">
      <c r="A218" s="3" t="n">
        <v>43101</v>
      </c>
      <c r="B218" s="4" t="inlineStr">
        <is>
          <t>2018m1</t>
        </is>
      </c>
      <c r="C218" s="5" t="n">
        <v>101.4625</v>
      </c>
      <c r="D218" s="5" t="n">
        <v>82.2015090989791</v>
      </c>
      <c r="E218" s="5" t="n">
        <v>66.01545454545455</v>
      </c>
      <c r="F218" s="5" t="n">
        <v>2.03</v>
      </c>
      <c r="G218" s="5" t="n">
        <v>-0.394355351</v>
      </c>
      <c r="H218" s="5" t="n">
        <v>11.06238095238095</v>
      </c>
      <c r="I218" s="5" t="n">
        <v>160.9672048231562</v>
      </c>
      <c r="J218" s="5" t="n">
        <v>99.5</v>
      </c>
      <c r="K218" s="5" t="n">
        <v>98.10599999999999</v>
      </c>
      <c r="L218" s="5" t="n">
        <v>1.494090909090909</v>
      </c>
      <c r="M218" s="5" t="n">
        <v>0.532</v>
      </c>
      <c r="N218" s="5" t="n">
        <v>1066.536363636364</v>
      </c>
      <c r="O218" s="5" t="n">
        <v>95.63025873364352</v>
      </c>
    </row>
    <row r="219">
      <c r="A219" s="3" t="n">
        <v>43132</v>
      </c>
      <c r="B219" s="4" t="inlineStr">
        <is>
          <t>2018m2</t>
        </is>
      </c>
      <c r="C219" s="5" t="n">
        <v>101.7085</v>
      </c>
      <c r="D219" s="5" t="n">
        <v>82.734132268087</v>
      </c>
      <c r="E219" s="5" t="n">
        <v>62.78578947368421</v>
      </c>
      <c r="F219" s="5" t="n">
        <v>2.18</v>
      </c>
      <c r="G219" s="5" t="n">
        <v>-0.236287531</v>
      </c>
      <c r="H219" s="5" t="n">
        <v>22.46473684210526</v>
      </c>
      <c r="I219" s="5" t="n">
        <v>114.7555583071917</v>
      </c>
      <c r="J219" s="5" t="n">
        <v>100.2</v>
      </c>
      <c r="K219" s="5" t="n">
        <v>98.855</v>
      </c>
      <c r="L219" s="5" t="n">
        <v>1.489444444444444</v>
      </c>
      <c r="M219" s="5" t="n">
        <v>0.5379999999999998</v>
      </c>
      <c r="N219" s="5" t="n">
        <v>1080.7</v>
      </c>
      <c r="O219" s="5" t="n">
        <v>71.15735386381509</v>
      </c>
    </row>
    <row r="220">
      <c r="A220" s="3" t="n">
        <v>43160</v>
      </c>
      <c r="B220" s="4" t="inlineStr">
        <is>
          <t>2018m3</t>
        </is>
      </c>
      <c r="C220" s="5" t="n">
        <v>102.2067</v>
      </c>
      <c r="D220" s="5" t="n">
        <v>82.02396804260989</v>
      </c>
      <c r="E220" s="5" t="n">
        <v>63.28727272727272</v>
      </c>
      <c r="F220" s="5" t="n">
        <v>2.28</v>
      </c>
      <c r="G220" s="5" t="n">
        <v>-0.09563406300000001</v>
      </c>
      <c r="H220" s="5" t="n">
        <v>19.02380952380953</v>
      </c>
      <c r="I220" s="5" t="n">
        <v>187.0958898895265</v>
      </c>
      <c r="J220" s="5" t="n">
        <v>99.09999999999999</v>
      </c>
      <c r="K220" s="5" t="n">
        <v>98.751</v>
      </c>
      <c r="L220" s="5" t="n">
        <v>1.491428571428572</v>
      </c>
      <c r="M220" s="5" t="n">
        <v>0.5600000000000001</v>
      </c>
      <c r="N220" s="5" t="n">
        <v>1071.209523809524</v>
      </c>
      <c r="O220" s="5" t="n">
        <v>129.4189910051724</v>
      </c>
    </row>
    <row r="221">
      <c r="A221" s="3" t="n">
        <v>43191</v>
      </c>
      <c r="B221" s="4" t="inlineStr">
        <is>
          <t>2018m4</t>
        </is>
      </c>
      <c r="C221" s="5" t="n">
        <v>103.3329</v>
      </c>
      <c r="D221" s="5" t="n">
        <v>83.0892143808256</v>
      </c>
      <c r="E221" s="5" t="n">
        <v>68.42904761904762</v>
      </c>
      <c r="F221" s="5" t="n">
        <v>2.38</v>
      </c>
      <c r="G221" s="5" t="n">
        <v>-0.278184622</v>
      </c>
      <c r="H221" s="5" t="n">
        <v>18.26761904761905</v>
      </c>
      <c r="I221" s="5" t="n">
        <v>139.0353863798274</v>
      </c>
      <c r="J221" s="5" t="n">
        <v>100.7</v>
      </c>
      <c r="K221" s="5" t="n">
        <v>98.931</v>
      </c>
      <c r="L221" s="5" t="n">
        <v>1.472857142857143</v>
      </c>
      <c r="M221" s="5" t="n">
        <v>0.6019999999999999</v>
      </c>
      <c r="N221" s="5" t="n">
        <v>1068.052380952381</v>
      </c>
      <c r="O221" s="5" t="n">
        <v>103.855925492796</v>
      </c>
    </row>
    <row r="222">
      <c r="A222" s="3" t="n">
        <v>43221</v>
      </c>
      <c r="B222" s="4" t="inlineStr">
        <is>
          <t>2018m5</t>
        </is>
      </c>
      <c r="C222" s="5" t="n">
        <v>102.4024</v>
      </c>
      <c r="D222" s="5" t="n">
        <v>83.0892143808256</v>
      </c>
      <c r="E222" s="5" t="n">
        <v>73.66190476190476</v>
      </c>
      <c r="F222" s="5" t="n">
        <v>2.51</v>
      </c>
      <c r="G222" s="5" t="n">
        <v>-0.18982525</v>
      </c>
      <c r="H222" s="5" t="n">
        <v>14.12454545454545</v>
      </c>
      <c r="I222" s="5" t="n">
        <v>162.276697274414</v>
      </c>
      <c r="J222" s="5" t="n">
        <v>100.7</v>
      </c>
      <c r="K222" s="5" t="n">
        <v>98.979</v>
      </c>
      <c r="L222" s="5" t="n">
        <v>1.497</v>
      </c>
      <c r="M222" s="5" t="n">
        <v>0.6099999999999999</v>
      </c>
      <c r="N222" s="5" t="n">
        <v>1077.045</v>
      </c>
      <c r="O222" s="5" t="n">
        <v>134.9642515374082</v>
      </c>
    </row>
    <row r="223">
      <c r="A223" s="3" t="n">
        <v>43252</v>
      </c>
      <c r="B223" s="4" t="inlineStr">
        <is>
          <t>2018m6</t>
        </is>
      </c>
      <c r="C223" s="5" t="n">
        <v>103.198</v>
      </c>
      <c r="D223" s="5" t="n">
        <v>82.9116733244563</v>
      </c>
      <c r="E223" s="5" t="n">
        <v>73.21549999999999</v>
      </c>
      <c r="F223" s="5" t="n">
        <v>2.53</v>
      </c>
      <c r="G223" s="5" t="n">
        <v>0.034354969</v>
      </c>
      <c r="H223" s="5" t="n">
        <v>13.67809523809524</v>
      </c>
      <c r="I223" s="5" t="n">
        <v>134.4027709527635</v>
      </c>
      <c r="J223" s="5" t="n">
        <v>100.5</v>
      </c>
      <c r="K223" s="5" t="n">
        <v>98.779</v>
      </c>
      <c r="L223" s="5" t="n">
        <v>1.488421052631579</v>
      </c>
      <c r="M223" s="5" t="n">
        <v>0.6300000000000003</v>
      </c>
      <c r="N223" s="5" t="n">
        <v>1095.957894736842</v>
      </c>
      <c r="O223" s="5" t="n">
        <v>126.3293887508215</v>
      </c>
    </row>
    <row r="224">
      <c r="A224" s="3" t="n">
        <v>43282</v>
      </c>
      <c r="B224" s="4" t="inlineStr">
        <is>
          <t>2018m7</t>
        </is>
      </c>
      <c r="C224" s="5" t="n">
        <v>103.3646</v>
      </c>
      <c r="D224" s="5" t="n">
        <v>83.6218375499334</v>
      </c>
      <c r="E224" s="5" t="n">
        <v>72.72363636363637</v>
      </c>
      <c r="F224" s="5" t="n">
        <v>2.61</v>
      </c>
      <c r="G224" s="5" t="n">
        <v>-0.119296776</v>
      </c>
      <c r="H224" s="5" t="n">
        <v>13.14761904761905</v>
      </c>
      <c r="I224" s="5" t="n">
        <v>176.2050780697524</v>
      </c>
      <c r="J224" s="5" t="n">
        <v>101.1</v>
      </c>
      <c r="K224" s="5" t="n">
        <v>98.59</v>
      </c>
      <c r="L224" s="5" t="n">
        <v>1.485454545454545</v>
      </c>
      <c r="M224" s="5" t="n">
        <v>0.653</v>
      </c>
      <c r="N224" s="5" t="n">
        <v>1123.045454545455</v>
      </c>
      <c r="O224" s="5" t="n">
        <v>155.1538728875888</v>
      </c>
    </row>
    <row r="225">
      <c r="A225" s="3" t="n">
        <v>43313</v>
      </c>
      <c r="B225" s="4" t="inlineStr">
        <is>
          <t>2018m8</t>
        </is>
      </c>
      <c r="C225" s="5" t="n">
        <v>104.0327</v>
      </c>
      <c r="D225" s="5" t="n">
        <v>84.1544607190413</v>
      </c>
      <c r="E225" s="5" t="n">
        <v>72.13318181818182</v>
      </c>
      <c r="F225" s="5" t="n">
        <v>2.64</v>
      </c>
      <c r="G225" s="5" t="n">
        <v>-0.088291546</v>
      </c>
      <c r="H225" s="5" t="n">
        <v>12.54695652173913</v>
      </c>
      <c r="I225" s="5" t="n">
        <v>114.9613708572396</v>
      </c>
      <c r="J225" s="5" t="n">
        <v>101</v>
      </c>
      <c r="K225" s="5" t="n">
        <v>99.462</v>
      </c>
      <c r="L225" s="5" t="n">
        <v>1.491363636363636</v>
      </c>
      <c r="M225" s="5" t="n">
        <v>0.637</v>
      </c>
      <c r="N225" s="5" t="n">
        <v>1120.959090909091</v>
      </c>
      <c r="O225" s="5" t="n">
        <v>149.4844141338833</v>
      </c>
    </row>
    <row r="226">
      <c r="A226" s="3" t="n">
        <v>43344</v>
      </c>
      <c r="B226" s="4" t="inlineStr">
        <is>
          <t>2018m9</t>
        </is>
      </c>
      <c r="C226" s="5" t="n">
        <v>104.1004</v>
      </c>
      <c r="D226" s="5" t="n">
        <v>83.976919662672</v>
      </c>
      <c r="E226" s="5" t="n">
        <v>77.01950000000001</v>
      </c>
      <c r="F226" s="5" t="n">
        <v>2.77</v>
      </c>
      <c r="G226" s="5" t="n">
        <v>-0.169707869</v>
      </c>
      <c r="H226" s="5" t="n">
        <v>12.91052631578947</v>
      </c>
      <c r="I226" s="5" t="n">
        <v>120.9851906831101</v>
      </c>
      <c r="J226" s="5" t="n">
        <v>100.2</v>
      </c>
      <c r="K226" s="5" t="n">
        <v>100.221</v>
      </c>
      <c r="L226" s="5" t="n">
        <v>1.538823529411765</v>
      </c>
      <c r="M226" s="5" t="n">
        <v>0.45</v>
      </c>
      <c r="N226" s="5" t="n">
        <v>1120.188235294118</v>
      </c>
      <c r="O226" s="5" t="n">
        <v>153.9600571840882</v>
      </c>
    </row>
    <row r="227">
      <c r="A227" s="3" t="n">
        <v>43374</v>
      </c>
      <c r="B227" s="4" t="inlineStr">
        <is>
          <t>2018m10</t>
        </is>
      </c>
      <c r="C227" s="5" t="n">
        <v>103.9856</v>
      </c>
      <c r="D227" s="5" t="n">
        <v>84.6870838881491</v>
      </c>
      <c r="E227" s="5" t="n">
        <v>78.95652173913044</v>
      </c>
      <c r="F227" s="5" t="n">
        <v>2.86</v>
      </c>
      <c r="G227" s="5" t="n">
        <v>0.011548366</v>
      </c>
      <c r="H227" s="5" t="n">
        <v>19.35217391304348</v>
      </c>
      <c r="I227" s="5" t="n">
        <v>136.1146533089458</v>
      </c>
      <c r="J227" s="5" t="n">
        <v>101.1</v>
      </c>
      <c r="K227" s="5" t="n">
        <v>100.041</v>
      </c>
      <c r="L227" s="5" t="n">
        <v>1.513333333333333</v>
      </c>
      <c r="M227" s="5" t="n">
        <v>0.4420000000000002</v>
      </c>
      <c r="N227" s="5" t="n">
        <v>1132.776190476191</v>
      </c>
      <c r="O227" s="5" t="n">
        <v>176.2110792674634</v>
      </c>
    </row>
    <row r="228">
      <c r="A228" s="3" t="n">
        <v>43405</v>
      </c>
      <c r="B228" s="4" t="inlineStr">
        <is>
          <t>2018m11</t>
        </is>
      </c>
      <c r="C228" s="5" t="n">
        <v>104.0681</v>
      </c>
      <c r="D228" s="5" t="n">
        <v>85.0421660008877</v>
      </c>
      <c r="E228" s="5" t="n">
        <v>65.10761904761905</v>
      </c>
      <c r="F228" s="5" t="n">
        <v>2.86</v>
      </c>
      <c r="G228" s="5" t="n">
        <v>0.1559186108522519</v>
      </c>
      <c r="H228" s="5" t="n">
        <v>19.38904761904762</v>
      </c>
      <c r="I228" s="5" t="n">
        <v>164.9422023366689</v>
      </c>
      <c r="J228" s="5" t="n">
        <v>99.90000000000001</v>
      </c>
      <c r="K228" s="5" t="n">
        <v>99.33</v>
      </c>
      <c r="L228" s="5" t="n">
        <v>1.508181818181818</v>
      </c>
      <c r="M228" s="5" t="n">
        <v>0.4630000000000001</v>
      </c>
      <c r="N228" s="5" t="n">
        <v>1127.545454545455</v>
      </c>
      <c r="O228" s="5" t="n">
        <v>203.2453711030298</v>
      </c>
    </row>
    <row r="229">
      <c r="A229" s="3" t="n">
        <v>43435</v>
      </c>
      <c r="B229" s="4" t="inlineStr">
        <is>
          <t>2018m12</t>
        </is>
      </c>
      <c r="C229" s="5" t="n">
        <v>104.0936</v>
      </c>
      <c r="D229" s="5" t="n">
        <v>86.1074123391034</v>
      </c>
      <c r="E229" s="5" t="n">
        <v>56.46900000000001</v>
      </c>
      <c r="F229" s="5" t="n">
        <v>2.68</v>
      </c>
      <c r="G229" s="5" t="n">
        <v>0.3572290482736722</v>
      </c>
      <c r="H229" s="5" t="n">
        <v>24.95315789473684</v>
      </c>
      <c r="I229" s="5" t="n">
        <v>226.5768878354379</v>
      </c>
      <c r="J229" s="5" t="n">
        <v>99.2</v>
      </c>
      <c r="K229" s="5" t="n">
        <v>98.988</v>
      </c>
      <c r="L229" s="5" t="n">
        <v>1.765</v>
      </c>
      <c r="M229" s="5" t="n">
        <v>0.4789999999999999</v>
      </c>
      <c r="N229" s="5" t="n">
        <v>1122.652631578947</v>
      </c>
      <c r="O229" s="5" t="n">
        <v>243.0335580531508</v>
      </c>
    </row>
    <row r="230">
      <c r="A230" s="3" t="n">
        <v>43466</v>
      </c>
      <c r="B230" s="4" t="inlineStr">
        <is>
          <t>2019m1</t>
        </is>
      </c>
      <c r="C230" s="5" t="n">
        <v>103.4021</v>
      </c>
      <c r="D230" s="5" t="n">
        <v>86.46249445184201</v>
      </c>
      <c r="E230" s="5" t="n">
        <v>58.9609090909091</v>
      </c>
      <c r="F230" s="5" t="n">
        <v>2.54</v>
      </c>
      <c r="G230" s="5" t="n">
        <v>0.1967501944970169</v>
      </c>
      <c r="H230" s="5" t="n">
        <v>19.57238095238095</v>
      </c>
      <c r="I230" s="5" t="n">
        <v>284.1359376541715</v>
      </c>
      <c r="J230" s="5" t="n">
        <v>100.5</v>
      </c>
      <c r="K230" s="5" t="n">
        <v>98.884</v>
      </c>
      <c r="L230" s="5" t="n">
        <v>1.756818181818182</v>
      </c>
      <c r="M230" s="5" t="n">
        <v>0.456</v>
      </c>
      <c r="N230" s="5" t="n">
        <v>1121.722727272727</v>
      </c>
      <c r="O230" s="5" t="n">
        <v>249.4365022025931</v>
      </c>
    </row>
    <row r="231">
      <c r="A231" s="3" t="n">
        <v>43497</v>
      </c>
      <c r="B231" s="4" t="inlineStr">
        <is>
          <t>2019m2</t>
        </is>
      </c>
      <c r="C231" s="5" t="n">
        <v>102.8371</v>
      </c>
      <c r="D231" s="5" t="n">
        <v>86.9951176209498</v>
      </c>
      <c r="E231" s="5" t="n">
        <v>64.32444444444444</v>
      </c>
      <c r="F231" s="5" t="n">
        <v>2.5</v>
      </c>
      <c r="G231" s="5" t="n">
        <v>0.088029079</v>
      </c>
      <c r="H231" s="5" t="n">
        <v>15.23473684210526</v>
      </c>
      <c r="I231" s="5" t="n">
        <v>123.6392880212809</v>
      </c>
      <c r="J231" s="5" t="n">
        <v>98.09999999999999</v>
      </c>
      <c r="K231" s="5" t="n">
        <v>99.31100000000001</v>
      </c>
      <c r="L231" s="5" t="n">
        <v>1.759411764705882</v>
      </c>
      <c r="M231" s="5" t="n">
        <v>0.4470000000000001</v>
      </c>
      <c r="N231" s="5" t="n">
        <v>1123.658823529412</v>
      </c>
      <c r="O231" s="5" t="n">
        <v>146.8237611238232</v>
      </c>
    </row>
    <row r="232">
      <c r="A232" s="3" t="n">
        <v>43525</v>
      </c>
      <c r="B232" s="4" t="inlineStr">
        <is>
          <t>2019m3</t>
        </is>
      </c>
      <c r="C232" s="5" t="n">
        <v>102.8757</v>
      </c>
      <c r="D232" s="5" t="n">
        <v>88.7705281846427</v>
      </c>
      <c r="E232" s="5" t="n">
        <v>66.8047619047619</v>
      </c>
      <c r="F232" s="5" t="n">
        <v>2.41</v>
      </c>
      <c r="G232" s="5" t="n">
        <v>-0.106053292</v>
      </c>
      <c r="H232" s="5" t="n">
        <v>14.4852380952381</v>
      </c>
      <c r="I232" s="5" t="n">
        <v>180.6316996863266</v>
      </c>
      <c r="J232" s="5" t="n">
        <v>99.40000000000001</v>
      </c>
      <c r="K232" s="5" t="n">
        <v>99.121</v>
      </c>
      <c r="L232" s="5" t="n">
        <v>1.7585</v>
      </c>
      <c r="M232" s="5" t="n">
        <v>0.4550000000000003</v>
      </c>
      <c r="N232" s="5" t="n">
        <v>1131.875</v>
      </c>
      <c r="O232" s="5" t="n">
        <v>172.9947626642451</v>
      </c>
    </row>
    <row r="233">
      <c r="A233" s="3" t="n">
        <v>43556</v>
      </c>
      <c r="B233" s="4" t="inlineStr">
        <is>
          <t>2019m4</t>
        </is>
      </c>
      <c r="C233" s="5" t="n">
        <v>102.274</v>
      </c>
      <c r="D233" s="5" t="n">
        <v>87.705281846427</v>
      </c>
      <c r="E233" s="5" t="n">
        <v>70.65571428571428</v>
      </c>
      <c r="F233" s="5" t="n">
        <v>2.34</v>
      </c>
      <c r="G233" s="5" t="n">
        <v>0.017149981</v>
      </c>
      <c r="H233" s="5" t="n">
        <v>12.94904761904762</v>
      </c>
      <c r="I233" s="5" t="n">
        <v>109.6863734547495</v>
      </c>
      <c r="J233" s="5" t="n">
        <v>101</v>
      </c>
      <c r="K233" s="5" t="n">
        <v>99.48099999999999</v>
      </c>
      <c r="L233" s="5" t="n">
        <v>1.746363636363636</v>
      </c>
      <c r="M233" s="5" t="n">
        <v>0.4709999999999999</v>
      </c>
      <c r="N233" s="5" t="n">
        <v>1142.786363636364</v>
      </c>
      <c r="O233" s="5" t="n">
        <v>138.9111784122806</v>
      </c>
    </row>
    <row r="234">
      <c r="A234" s="3" t="n">
        <v>43586</v>
      </c>
      <c r="B234" s="4" t="inlineStr">
        <is>
          <t>2019m5</t>
        </is>
      </c>
      <c r="C234" s="5" t="n">
        <v>102.392</v>
      </c>
      <c r="D234" s="5" t="n">
        <v>87.17265867731911</v>
      </c>
      <c r="E234" s="5" t="n">
        <v>69.13095238095238</v>
      </c>
      <c r="F234" s="5" t="n">
        <v>2.21</v>
      </c>
      <c r="G234" s="5" t="n">
        <v>-0.000771</v>
      </c>
      <c r="H234" s="5" t="n">
        <v>16.72181818181818</v>
      </c>
      <c r="I234" s="5" t="n">
        <v>160.8581540301101</v>
      </c>
      <c r="J234" s="5" t="n">
        <v>100.9</v>
      </c>
      <c r="K234" s="5" t="n">
        <v>99.652</v>
      </c>
      <c r="L234" s="5" t="n">
        <v>1.744761904761905</v>
      </c>
      <c r="M234" s="5" t="n">
        <v>0.474</v>
      </c>
      <c r="N234" s="5" t="n">
        <v>1184.933333333333</v>
      </c>
      <c r="O234" s="5" t="n">
        <v>230.1457517795192</v>
      </c>
    </row>
    <row r="235">
      <c r="A235" s="3" t="n">
        <v>43617</v>
      </c>
      <c r="B235" s="4" t="inlineStr">
        <is>
          <t>2019m6</t>
        </is>
      </c>
      <c r="C235" s="5" t="n">
        <v>102.4375</v>
      </c>
      <c r="D235" s="5" t="n">
        <v>87.705281846427</v>
      </c>
      <c r="E235" s="5" t="n">
        <v>61.3</v>
      </c>
      <c r="F235" s="5" t="n">
        <v>1.81</v>
      </c>
      <c r="G235" s="5" t="n">
        <v>0.028797512</v>
      </c>
      <c r="H235" s="5" t="n">
        <v>15.836</v>
      </c>
      <c r="I235" s="5" t="n">
        <v>207.9913722842592</v>
      </c>
      <c r="J235" s="5" t="n">
        <v>99.90000000000001</v>
      </c>
      <c r="K235" s="5" t="n">
        <v>99.491</v>
      </c>
      <c r="L235" s="5" t="n">
        <v>1.756842105263158</v>
      </c>
      <c r="M235" s="5" t="n">
        <v>0.508</v>
      </c>
      <c r="N235" s="5" t="n">
        <v>1173.584210526316</v>
      </c>
      <c r="O235" s="5" t="n">
        <v>248.5288699370373</v>
      </c>
    </row>
    <row r="236">
      <c r="A236" s="3" t="n">
        <v>43647</v>
      </c>
      <c r="B236" s="4" t="inlineStr">
        <is>
          <t>2019m7</t>
        </is>
      </c>
      <c r="C236" s="5" t="n">
        <v>101.9408</v>
      </c>
      <c r="D236" s="5" t="n">
        <v>87.88282290279631</v>
      </c>
      <c r="E236" s="5" t="n">
        <v>62.90695652173913</v>
      </c>
      <c r="F236" s="5" t="n">
        <v>1.84</v>
      </c>
      <c r="G236" s="5" t="n">
        <v>-0.025257189</v>
      </c>
      <c r="H236" s="5" t="n">
        <v>13.30590909090909</v>
      </c>
      <c r="I236" s="5" t="n">
        <v>207.745461743896</v>
      </c>
      <c r="J236" s="5" t="n">
        <v>101.7</v>
      </c>
      <c r="K236" s="5" t="n">
        <v>99.187</v>
      </c>
      <c r="L236" s="5" t="n">
        <v>1.630869565217391</v>
      </c>
      <c r="M236" s="5" t="n">
        <v>0.5030000000000001</v>
      </c>
      <c r="N236" s="5" t="n">
        <v>1177.086956521739</v>
      </c>
      <c r="O236" s="5" t="n">
        <v>316.8554612323969</v>
      </c>
    </row>
    <row r="237">
      <c r="A237" s="3" t="n">
        <v>43678</v>
      </c>
      <c r="B237" s="4" t="inlineStr">
        <is>
          <t>2019m8</t>
        </is>
      </c>
      <c r="C237" s="5" t="n">
        <v>102.639</v>
      </c>
      <c r="D237" s="5" t="n">
        <v>88.23790501553481</v>
      </c>
      <c r="E237" s="5" t="n">
        <v>58.9215</v>
      </c>
      <c r="F237" s="5" t="n">
        <v>1.57</v>
      </c>
      <c r="G237" s="5" t="n">
        <v>-0.144735059</v>
      </c>
      <c r="H237" s="5" t="n">
        <v>18.97909090909091</v>
      </c>
      <c r="I237" s="5" t="n">
        <v>282.5229310028657</v>
      </c>
      <c r="J237" s="5" t="n">
        <v>101.6</v>
      </c>
      <c r="K237" s="5" t="n">
        <v>99.425</v>
      </c>
      <c r="L237" s="5" t="n">
        <v>1.510952380952381</v>
      </c>
      <c r="M237" s="5" t="n">
        <v>0.5250000000000001</v>
      </c>
      <c r="N237" s="5" t="n">
        <v>1210.661904761905</v>
      </c>
      <c r="O237" s="5" t="n">
        <v>538.1767645085487</v>
      </c>
    </row>
    <row r="238">
      <c r="A238" s="3" t="n">
        <v>43709</v>
      </c>
      <c r="B238" s="4" t="inlineStr">
        <is>
          <t>2019m9</t>
        </is>
      </c>
      <c r="C238" s="5" t="n">
        <v>102.2917</v>
      </c>
      <c r="D238" s="5" t="n">
        <v>88.94806924101201</v>
      </c>
      <c r="E238" s="5" t="n">
        <v>60.84142857142857</v>
      </c>
      <c r="F238" s="5" t="n">
        <v>1.65</v>
      </c>
      <c r="G238" s="5" t="n">
        <v>-0.222855569</v>
      </c>
      <c r="H238" s="5" t="n">
        <v>15.559</v>
      </c>
      <c r="I238" s="5" t="n">
        <v>186.6406965622766</v>
      </c>
      <c r="J238" s="5" t="n">
        <v>101.6</v>
      </c>
      <c r="K238" s="5" t="n">
        <v>99.794</v>
      </c>
      <c r="L238" s="5" t="n">
        <v>1.517368421052632</v>
      </c>
      <c r="M238" s="5" t="n">
        <v>0.5050000000000001</v>
      </c>
      <c r="N238" s="5" t="n">
        <v>1196.794736842105</v>
      </c>
      <c r="O238" s="5" t="n">
        <v>275.1985473920159</v>
      </c>
    </row>
    <row r="239">
      <c r="A239" s="3" t="n">
        <v>43739</v>
      </c>
      <c r="B239" s="4" t="inlineStr">
        <is>
          <t>2019m10</t>
        </is>
      </c>
      <c r="C239" s="5" t="n">
        <v>101.4281</v>
      </c>
      <c r="D239" s="5" t="n">
        <v>89.1256102973813</v>
      </c>
      <c r="E239" s="5" t="n">
        <v>58.46590909090909</v>
      </c>
      <c r="F239" s="5" t="n">
        <v>1.55</v>
      </c>
      <c r="G239" s="5" t="n">
        <v>-0.217656809</v>
      </c>
      <c r="H239" s="5" t="n">
        <v>15.46652173913044</v>
      </c>
      <c r="I239" s="5" t="n">
        <v>159.5113928417186</v>
      </c>
      <c r="J239" s="5" t="n">
        <v>101.9</v>
      </c>
      <c r="K239" s="5" t="n">
        <v>100.041</v>
      </c>
      <c r="L239" s="5" t="n">
        <v>1.363809523809524</v>
      </c>
      <c r="M239" s="5" t="n">
        <v>0.504</v>
      </c>
      <c r="N239" s="5" t="n">
        <v>1182.290476190476</v>
      </c>
      <c r="O239" s="5" t="n">
        <v>274.0244017429382</v>
      </c>
    </row>
    <row r="240">
      <c r="A240" s="3" t="n">
        <v>43770</v>
      </c>
      <c r="B240" s="4" t="inlineStr">
        <is>
          <t>2019m11</t>
        </is>
      </c>
      <c r="C240" s="5" t="n">
        <v>101.9372</v>
      </c>
      <c r="D240" s="5" t="n">
        <v>90.5459387483356</v>
      </c>
      <c r="E240" s="5" t="n">
        <v>61.40761904761904</v>
      </c>
      <c r="F240" s="5" t="n">
        <v>1.61</v>
      </c>
      <c r="G240" s="5" t="n">
        <v>-0.160330256</v>
      </c>
      <c r="H240" s="5" t="n">
        <v>12.5235</v>
      </c>
      <c r="I240" s="5" t="n">
        <v>170.4803410561536</v>
      </c>
      <c r="J240" s="5" t="n">
        <v>102</v>
      </c>
      <c r="K240" s="5" t="n">
        <v>99.48099999999999</v>
      </c>
      <c r="L240" s="5" t="n">
        <v>1.27952380952381</v>
      </c>
      <c r="M240" s="5" t="n">
        <v>0.5099999999999998</v>
      </c>
      <c r="N240" s="5" t="n">
        <v>1168.428571428571</v>
      </c>
      <c r="O240" s="5" t="n">
        <v>239.3559502935402</v>
      </c>
    </row>
    <row r="241">
      <c r="A241" s="3" t="n">
        <v>43800</v>
      </c>
      <c r="B241" s="4" t="inlineStr">
        <is>
          <t>2019m12</t>
        </is>
      </c>
      <c r="C241" s="5" t="n">
        <v>101.7003</v>
      </c>
      <c r="D241" s="5" t="n">
        <v>92.1438082556591</v>
      </c>
      <c r="E241" s="5" t="n">
        <v>64.40666666666667</v>
      </c>
      <c r="F241" s="5" t="n">
        <v>1.61</v>
      </c>
      <c r="G241" s="5" t="n">
        <v>-0.270694614</v>
      </c>
      <c r="H241" s="5" t="n">
        <v>13.75666666666667</v>
      </c>
      <c r="I241" s="5" t="n">
        <v>190.5049252842669</v>
      </c>
      <c r="J241" s="5" t="n">
        <v>103.1</v>
      </c>
      <c r="K241" s="5" t="n">
        <v>99.71899999999999</v>
      </c>
      <c r="L241" s="5" t="n">
        <v>1.283333333333333</v>
      </c>
      <c r="M241" s="5" t="n">
        <v>0.5580000000000001</v>
      </c>
      <c r="N241" s="5" t="n">
        <v>1176.01</v>
      </c>
      <c r="O241" s="5" t="n">
        <v>257.8861252169331</v>
      </c>
    </row>
    <row r="242">
      <c r="A242" s="3" t="n">
        <v>43831</v>
      </c>
      <c r="B242" s="4" t="inlineStr">
        <is>
          <t>2020m1</t>
        </is>
      </c>
      <c r="C242" s="5" t="n">
        <v>101.0338</v>
      </c>
      <c r="D242" s="5" t="n">
        <v>74.2121615623613</v>
      </c>
      <c r="E242" s="5" t="n">
        <v>63.75952380952381</v>
      </c>
      <c r="F242" s="5" t="n">
        <v>1.52</v>
      </c>
      <c r="G242" s="5" t="n">
        <v>-0.235989012</v>
      </c>
      <c r="H242" s="5" t="n">
        <v>13.94095238095238</v>
      </c>
      <c r="I242" s="5" t="n">
        <v>164.7553057823113</v>
      </c>
      <c r="J242" s="5" t="n">
        <v>103.4</v>
      </c>
      <c r="K242" s="5" t="n">
        <v>100.09</v>
      </c>
      <c r="L242" s="5" t="n">
        <v>1.2725</v>
      </c>
      <c r="M242" s="5" t="n">
        <v>0.5820000000000001</v>
      </c>
      <c r="N242" s="5" t="n">
        <v>1166.68</v>
      </c>
      <c r="O242" s="5" t="n">
        <v>255.230494798869</v>
      </c>
    </row>
    <row r="243">
      <c r="A243" s="3" t="n">
        <v>43862</v>
      </c>
      <c r="B243" s="4" t="inlineStr">
        <is>
          <t>2020m2</t>
        </is>
      </c>
      <c r="C243" s="5" t="n">
        <v>101.3735</v>
      </c>
      <c r="D243" s="5" t="n">
        <v>74.7447847314692</v>
      </c>
      <c r="E243" s="5" t="n">
        <v>54.5125</v>
      </c>
      <c r="F243" s="5" t="n">
        <v>1.33</v>
      </c>
      <c r="G243" s="5" t="n">
        <v>-0.149597594</v>
      </c>
      <c r="H243" s="5" t="n">
        <v>19.62894736842105</v>
      </c>
      <c r="I243" s="5" t="n">
        <v>216.1912123553838</v>
      </c>
      <c r="J243" s="5" t="n">
        <v>100</v>
      </c>
      <c r="K243" s="5" t="n">
        <v>100.16</v>
      </c>
      <c r="L243" s="5" t="n">
        <v>1.239</v>
      </c>
      <c r="M243" s="5" t="n">
        <v>0.5940000000000001</v>
      </c>
      <c r="N243" s="5" t="n">
        <v>1195.155</v>
      </c>
      <c r="O243" s="5" t="n">
        <v>159.1516521890693</v>
      </c>
    </row>
    <row r="244">
      <c r="A244" s="3" t="n">
        <v>43891</v>
      </c>
      <c r="B244" s="4" t="inlineStr">
        <is>
          <t>2020m3</t>
        </is>
      </c>
      <c r="C244" s="5" t="n">
        <v>97.40779999999999</v>
      </c>
      <c r="D244" s="5" t="n">
        <v>87.705281846427</v>
      </c>
      <c r="E244" s="5" t="n">
        <v>33.75</v>
      </c>
      <c r="F244" s="5" t="n">
        <v>0.45</v>
      </c>
      <c r="G244" s="5" t="n">
        <v>1.189083209570024</v>
      </c>
      <c r="H244" s="5" t="n">
        <v>57.73681818181819</v>
      </c>
      <c r="I244" s="5" t="n">
        <v>425.7791697764692</v>
      </c>
      <c r="J244" s="5" t="n">
        <v>98.59999999999999</v>
      </c>
      <c r="K244" s="5" t="n">
        <v>99.94</v>
      </c>
      <c r="L244" s="5" t="n">
        <v>0.9972727272727273</v>
      </c>
      <c r="M244" s="5" t="n">
        <v>0.7490000000000001</v>
      </c>
      <c r="N244" s="5" t="n">
        <v>1220.227272727273</v>
      </c>
      <c r="O244" s="5" t="n">
        <v>224.8715613139199</v>
      </c>
    </row>
    <row r="245">
      <c r="A245" s="3" t="n">
        <v>43922</v>
      </c>
      <c r="B245" s="4" t="inlineStr">
        <is>
          <t>2020m4</t>
        </is>
      </c>
      <c r="C245" s="5" t="n">
        <v>84.56189999999999</v>
      </c>
      <c r="D245" s="5" t="n">
        <v>91.43364403018199</v>
      </c>
      <c r="E245" s="5" t="n">
        <v>23.27047619047619</v>
      </c>
      <c r="F245" s="5" t="n">
        <v>0.22</v>
      </c>
      <c r="G245" s="5" t="n">
        <v>0.6555480379487717</v>
      </c>
      <c r="H245" s="5" t="n">
        <v>41.45380952380953</v>
      </c>
      <c r="I245" s="5" t="n">
        <v>400.9447431705236</v>
      </c>
      <c r="J245" s="5" t="n">
        <v>97.3</v>
      </c>
      <c r="K245" s="5" t="n">
        <v>99.5</v>
      </c>
      <c r="L245" s="5" t="n">
        <v>0.7405</v>
      </c>
      <c r="M245" s="5" t="n">
        <v>1.121</v>
      </c>
      <c r="N245" s="5" t="n">
        <v>1224.42</v>
      </c>
      <c r="O245" s="5" t="n">
        <v>211.4946152016945</v>
      </c>
    </row>
    <row r="246">
      <c r="A246" s="3" t="n">
        <v>43952</v>
      </c>
      <c r="B246" s="4" t="inlineStr">
        <is>
          <t>2020m5</t>
        </is>
      </c>
      <c r="C246" s="5" t="n">
        <v>85.96040000000001</v>
      </c>
      <c r="D246" s="5" t="n">
        <v>91.07856191744339</v>
      </c>
      <c r="E246" s="5" t="n">
        <v>31.56388888888889</v>
      </c>
      <c r="F246" s="5" t="n">
        <v>0.17</v>
      </c>
      <c r="G246" s="5" t="n">
        <v>0.4144726672764047</v>
      </c>
      <c r="H246" s="5" t="n">
        <v>30.897</v>
      </c>
      <c r="I246" s="5" t="n">
        <v>503.9633367059844</v>
      </c>
      <c r="J246" s="5" t="n">
        <v>96</v>
      </c>
      <c r="K246" s="5" t="n">
        <v>99.44</v>
      </c>
      <c r="L246" s="5" t="n">
        <v>0.6968421052631579</v>
      </c>
      <c r="M246" s="5" t="n">
        <v>1.301</v>
      </c>
      <c r="N246" s="5" t="n">
        <v>1230.057894736842</v>
      </c>
      <c r="O246" s="5" t="n">
        <v>252.0868151820004</v>
      </c>
    </row>
    <row r="247">
      <c r="A247" s="3" t="n">
        <v>43983</v>
      </c>
      <c r="B247" s="4" t="inlineStr">
        <is>
          <t>2020m6</t>
        </is>
      </c>
      <c r="C247" s="5" t="n">
        <v>91.5934</v>
      </c>
      <c r="D247" s="5" t="n">
        <v>91.6111850865513</v>
      </c>
      <c r="E247" s="5" t="n">
        <v>40.13863636363636</v>
      </c>
      <c r="F247" s="5" t="n">
        <v>0.19</v>
      </c>
      <c r="G247" s="5" t="n">
        <v>0.057092457</v>
      </c>
      <c r="H247" s="5" t="n">
        <v>31.11954545454546</v>
      </c>
      <c r="I247" s="5" t="n">
        <v>300.2401726881104</v>
      </c>
      <c r="J247" s="5" t="n">
        <v>98.8</v>
      </c>
      <c r="K247" s="5" t="n">
        <v>99.70999999999999</v>
      </c>
      <c r="L247" s="5" t="n">
        <v>0.4781818181818182</v>
      </c>
      <c r="M247" s="5" t="n">
        <v>1.368</v>
      </c>
      <c r="N247" s="5" t="n">
        <v>1207.831818181818</v>
      </c>
      <c r="O247" s="5" t="n">
        <v>224.3912064747244</v>
      </c>
    </row>
    <row r="248">
      <c r="A248" s="3" t="n">
        <v>44013</v>
      </c>
      <c r="B248" s="4" t="inlineStr">
        <is>
          <t>2020m7</t>
        </is>
      </c>
      <c r="C248" s="5" t="n">
        <v>95.0256</v>
      </c>
      <c r="D248" s="5" t="n">
        <v>92.676431424767</v>
      </c>
      <c r="E248" s="5" t="n">
        <v>42.64190476190476</v>
      </c>
      <c r="F248" s="5" t="n">
        <v>0.15</v>
      </c>
      <c r="G248" s="5" t="n">
        <v>-0.155139972</v>
      </c>
      <c r="H248" s="5" t="n">
        <v>26.84045454545454</v>
      </c>
      <c r="I248" s="5" t="n">
        <v>427.9153661127743</v>
      </c>
      <c r="J248" s="5" t="n">
        <v>99.8</v>
      </c>
      <c r="K248" s="5" t="n">
        <v>99.63</v>
      </c>
      <c r="L248" s="5" t="n">
        <v>0.4769565217391304</v>
      </c>
      <c r="M248" s="5" t="n">
        <v>1.393</v>
      </c>
      <c r="N248" s="5" t="n">
        <v>1198.85652173913</v>
      </c>
      <c r="O248" s="5" t="n">
        <v>160.6975351224739</v>
      </c>
    </row>
    <row r="249">
      <c r="A249" s="3" t="n">
        <v>44044</v>
      </c>
      <c r="B249" s="4" t="inlineStr">
        <is>
          <t>2020m8</t>
        </is>
      </c>
      <c r="C249" s="5" t="n">
        <v>95.95489999999999</v>
      </c>
      <c r="D249" s="5" t="n">
        <v>93.7416777629827</v>
      </c>
      <c r="E249" s="5" t="n">
        <v>43.74631578947368</v>
      </c>
      <c r="F249" s="5" t="n">
        <v>0.14</v>
      </c>
      <c r="G249" s="5" t="n">
        <v>-0.280433934</v>
      </c>
      <c r="H249" s="5" t="n">
        <v>22.88952380952381</v>
      </c>
      <c r="I249" s="5" t="n">
        <v>263.471433963797</v>
      </c>
      <c r="J249" s="5" t="n">
        <v>99.59999999999999</v>
      </c>
      <c r="K249" s="5" t="n">
        <v>100.19</v>
      </c>
      <c r="L249" s="5" t="n">
        <v>0.505</v>
      </c>
      <c r="M249" s="5" t="n">
        <v>1.363</v>
      </c>
      <c r="N249" s="5" t="n">
        <v>1186.255</v>
      </c>
      <c r="O249" s="5" t="n">
        <v>162.8207108407996</v>
      </c>
    </row>
    <row r="250">
      <c r="A250" s="3" t="n">
        <v>44075</v>
      </c>
      <c r="B250" s="4" t="inlineStr">
        <is>
          <t>2020m9</t>
        </is>
      </c>
      <c r="C250" s="5" t="n">
        <v>95.9669</v>
      </c>
      <c r="D250" s="5" t="n">
        <v>95.51708832667551</v>
      </c>
      <c r="E250" s="5" t="n">
        <v>41.10318181818182</v>
      </c>
      <c r="F250" s="5" t="n">
        <v>0.13</v>
      </c>
      <c r="G250" s="5" t="n">
        <v>0.008452655999999999</v>
      </c>
      <c r="H250" s="5" t="n">
        <v>27.64761904761905</v>
      </c>
      <c r="I250" s="5" t="n">
        <v>252.5878427032177</v>
      </c>
      <c r="J250" s="5" t="n">
        <v>100.9</v>
      </c>
      <c r="K250" s="5" t="n">
        <v>100.74</v>
      </c>
      <c r="L250" s="5" t="n">
        <v>0.4795238095238095</v>
      </c>
      <c r="M250" s="5" t="n">
        <v>1.331</v>
      </c>
      <c r="N250" s="5" t="n">
        <v>1177.652380952381</v>
      </c>
      <c r="O250" s="5" t="n">
        <v>136.2968058978634</v>
      </c>
    </row>
    <row r="251">
      <c r="A251" s="3" t="n">
        <v>44105</v>
      </c>
      <c r="B251" s="4" t="inlineStr">
        <is>
          <t>2020m10</t>
        </is>
      </c>
      <c r="C251" s="5" t="n">
        <v>96.7394</v>
      </c>
      <c r="D251" s="5" t="n">
        <v>95.87217043941411</v>
      </c>
      <c r="E251" s="5" t="n">
        <v>39.70409090909091</v>
      </c>
      <c r="F251" s="5" t="n">
        <v>0.15</v>
      </c>
      <c r="G251" s="5" t="n">
        <v>-0.202160999</v>
      </c>
      <c r="H251" s="5" t="n">
        <v>29.43863636363636</v>
      </c>
      <c r="I251" s="5" t="n">
        <v>305.7666266812066</v>
      </c>
      <c r="J251" s="5" t="n">
        <v>101.5</v>
      </c>
      <c r="K251" s="5" t="n">
        <v>100.18</v>
      </c>
      <c r="L251" s="5" t="n">
        <v>0.5073684210526316</v>
      </c>
      <c r="M251" s="5" t="n">
        <v>1.329</v>
      </c>
      <c r="N251" s="5" t="n">
        <v>1141.931578947369</v>
      </c>
      <c r="O251" s="5" t="n">
        <v>189.3790960606123</v>
      </c>
    </row>
    <row r="252">
      <c r="A252" s="3" t="n">
        <v>44136</v>
      </c>
      <c r="B252" s="4" t="inlineStr">
        <is>
          <t>2020m11</t>
        </is>
      </c>
      <c r="C252" s="5" t="n">
        <v>97.08159999999999</v>
      </c>
      <c r="D252" s="5" t="n">
        <v>97.4700399467377</v>
      </c>
      <c r="E252" s="5" t="n">
        <v>42.57761904761905</v>
      </c>
      <c r="F252" s="5" t="n">
        <v>0.17</v>
      </c>
      <c r="G252" s="5" t="n">
        <v>-0.459277995</v>
      </c>
      <c r="H252" s="5" t="n">
        <v>24.9955</v>
      </c>
      <c r="I252" s="5" t="n">
        <v>327.6096049518931</v>
      </c>
      <c r="J252" s="5" t="n">
        <v>102.5</v>
      </c>
      <c r="K252" s="5" t="n">
        <v>100.09</v>
      </c>
      <c r="L252" s="5" t="n">
        <v>0.4966666666666666</v>
      </c>
      <c r="M252" s="5" t="n">
        <v>1.282</v>
      </c>
      <c r="N252" s="5" t="n">
        <v>1115.204761904762</v>
      </c>
      <c r="O252" s="5" t="n">
        <v>287.6910663124305</v>
      </c>
    </row>
    <row r="253">
      <c r="A253" s="3" t="n">
        <v>44166</v>
      </c>
      <c r="B253" s="4" t="inlineStr">
        <is>
          <t>2020m12</t>
        </is>
      </c>
      <c r="C253" s="5" t="n">
        <v>98.363</v>
      </c>
      <c r="D253" s="5" t="n">
        <v>98.71282734132269</v>
      </c>
      <c r="E253" s="5" t="n">
        <v>49.25954545454545</v>
      </c>
      <c r="F253" s="5" t="n">
        <v>0.14</v>
      </c>
      <c r="G253" s="5" t="n">
        <v>-0.488933418</v>
      </c>
      <c r="H253" s="5" t="n">
        <v>22.37409090909091</v>
      </c>
      <c r="I253" s="5" t="n">
        <v>326.6166300683885</v>
      </c>
      <c r="J253" s="5" t="n">
        <v>101.5</v>
      </c>
      <c r="K253" s="5" t="n">
        <v>100.33</v>
      </c>
      <c r="L253" s="5" t="n">
        <v>0.5081818181818182</v>
      </c>
      <c r="M253" s="5" t="n">
        <v>1.241</v>
      </c>
      <c r="N253" s="5" t="n">
        <v>1094.504761904762</v>
      </c>
      <c r="O253" s="5" t="n">
        <v>182.5121801046181</v>
      </c>
    </row>
    <row r="254">
      <c r="A254" s="3" t="n">
        <v>44197</v>
      </c>
      <c r="B254" s="4" t="inlineStr">
        <is>
          <t>2021m1</t>
        </is>
      </c>
      <c r="C254" s="5" t="n">
        <v>98.8822</v>
      </c>
      <c r="D254" s="5" t="n">
        <v>98.890368397692</v>
      </c>
      <c r="E254" s="5" t="n">
        <v>54.1555</v>
      </c>
      <c r="F254" s="5" t="n">
        <v>0.13</v>
      </c>
      <c r="G254" s="5" t="n">
        <v>-0.6451607150000001</v>
      </c>
      <c r="H254" s="5" t="n">
        <v>24.91</v>
      </c>
      <c r="I254" s="5" t="n">
        <v>261.3061327503125</v>
      </c>
      <c r="J254" s="5" t="n">
        <v>101.7</v>
      </c>
      <c r="K254" s="5" t="n">
        <v>101.04</v>
      </c>
      <c r="L254" s="5" t="n">
        <v>0.4894999999999999</v>
      </c>
      <c r="M254" s="5" t="n">
        <v>1.168</v>
      </c>
      <c r="N254" s="5" t="n">
        <v>1099.03</v>
      </c>
      <c r="O254" s="5" t="n">
        <v>212.1215443064614</v>
      </c>
    </row>
    <row r="255">
      <c r="A255" s="3" t="n">
        <v>44228</v>
      </c>
      <c r="B255" s="4" t="inlineStr">
        <is>
          <t>2021m2</t>
        </is>
      </c>
      <c r="C255" s="5" t="n">
        <v>95.61490000000001</v>
      </c>
      <c r="D255" s="5" t="n">
        <v>99.42299156679979</v>
      </c>
      <c r="E255" s="5" t="n">
        <v>60.3678947368421</v>
      </c>
      <c r="F255" s="5" t="n">
        <v>0.12</v>
      </c>
      <c r="G255" s="5" t="n">
        <v>-0.946902057</v>
      </c>
      <c r="H255" s="5" t="n">
        <v>23.14052631578948</v>
      </c>
      <c r="I255" s="5" t="n">
        <v>187.5196161119768</v>
      </c>
      <c r="J255" s="5" t="n">
        <v>103.7</v>
      </c>
      <c r="K255" s="5" t="n">
        <v>101.58</v>
      </c>
      <c r="L255" s="5" t="n">
        <v>0.4922222222222222</v>
      </c>
      <c r="M255" s="5" t="n">
        <v>1.06</v>
      </c>
      <c r="N255" s="5" t="n">
        <v>1112.305555555556</v>
      </c>
      <c r="O255" s="5" t="n">
        <v>130.9214771454762</v>
      </c>
    </row>
    <row r="256">
      <c r="A256" s="3" t="n">
        <v>44256</v>
      </c>
      <c r="B256" s="4" t="inlineStr">
        <is>
          <t>2021m3</t>
        </is>
      </c>
      <c r="C256" s="5" t="n">
        <v>98.3856</v>
      </c>
      <c r="D256" s="5" t="n">
        <v>99.42299156679979</v>
      </c>
      <c r="E256" s="5" t="n">
        <v>63.94565217391305</v>
      </c>
      <c r="F256" s="5" t="n">
        <v>0.15</v>
      </c>
      <c r="G256" s="5" t="n">
        <v>-0.738394606</v>
      </c>
      <c r="H256" s="5" t="n">
        <v>21.84304347826087</v>
      </c>
      <c r="I256" s="5" t="n">
        <v>166.7855324285332</v>
      </c>
      <c r="J256" s="5" t="n">
        <v>104.4</v>
      </c>
      <c r="K256" s="5" t="n">
        <v>101.84</v>
      </c>
      <c r="L256" s="5" t="n">
        <v>0.4881818181818182</v>
      </c>
      <c r="M256" s="5" t="n">
        <v>0.9580000000000002</v>
      </c>
      <c r="N256" s="5" t="n">
        <v>1131.059090909091</v>
      </c>
      <c r="O256" s="5" t="n">
        <v>140.7314464428878</v>
      </c>
    </row>
    <row r="257">
      <c r="A257" s="3" t="n">
        <v>44287</v>
      </c>
      <c r="B257" s="4" t="inlineStr">
        <is>
          <t>2021m4</t>
        </is>
      </c>
      <c r="C257" s="5" t="n">
        <v>98.5587</v>
      </c>
      <c r="D257" s="5" t="n">
        <v>100.843320017754</v>
      </c>
      <c r="E257" s="5" t="n">
        <v>62.5145</v>
      </c>
      <c r="F257" s="5" t="n">
        <v>0.16</v>
      </c>
      <c r="G257" s="5" t="n">
        <v>-0.478563192</v>
      </c>
      <c r="H257" s="5" t="n">
        <v>17.41619047619048</v>
      </c>
      <c r="I257" s="5" t="n">
        <v>141.3001663096493</v>
      </c>
      <c r="J257" s="5" t="n">
        <v>104</v>
      </c>
      <c r="K257" s="5" t="n">
        <v>101.98</v>
      </c>
      <c r="L257" s="5" t="n">
        <v>0.4790909090909091</v>
      </c>
      <c r="M257" s="5" t="n">
        <v>0.8450000000000002</v>
      </c>
      <c r="N257" s="5" t="n">
        <v>1118.318181818182</v>
      </c>
      <c r="O257" s="5" t="n">
        <v>161.6111223932184</v>
      </c>
    </row>
    <row r="258">
      <c r="A258" s="3" t="n">
        <v>44317</v>
      </c>
      <c r="B258" s="4" t="inlineStr">
        <is>
          <t>2021m5</t>
        </is>
      </c>
      <c r="C258" s="5" t="n">
        <v>99.4333</v>
      </c>
      <c r="D258" s="5" t="n">
        <v>99.9556147359077</v>
      </c>
      <c r="E258" s="5" t="n">
        <v>65.97631578947369</v>
      </c>
      <c r="F258" s="5" t="n">
        <v>0.16</v>
      </c>
      <c r="G258" s="5" t="n">
        <v>-0.413890168</v>
      </c>
      <c r="H258" s="5" t="n">
        <v>19.7605</v>
      </c>
      <c r="I258" s="5" t="n">
        <v>172.0962089286867</v>
      </c>
      <c r="J258" s="5" t="n">
        <v>104.4</v>
      </c>
      <c r="K258" s="5" t="n">
        <v>102.05</v>
      </c>
      <c r="L258" s="5" t="n">
        <v>0.4747368421052631</v>
      </c>
      <c r="M258" s="5" t="n">
        <v>0.7570000000000001</v>
      </c>
      <c r="N258" s="5" t="n">
        <v>1123.394736842105</v>
      </c>
      <c r="O258" s="5" t="n">
        <v>138.2802416798519</v>
      </c>
    </row>
    <row r="259">
      <c r="A259" s="3" t="n">
        <v>44348</v>
      </c>
      <c r="B259" s="4" t="inlineStr">
        <is>
          <t>2021m6</t>
        </is>
      </c>
      <c r="C259" s="5" t="n">
        <v>99.7987</v>
      </c>
      <c r="D259" s="5" t="n">
        <v>99.06790945406129</v>
      </c>
      <c r="E259" s="5" t="n">
        <v>70.95954545454546</v>
      </c>
      <c r="F259" s="5" t="n">
        <v>0.2</v>
      </c>
      <c r="G259" s="5" t="n">
        <v>-0.579422711</v>
      </c>
      <c r="H259" s="5" t="n">
        <v>16.95681818181818</v>
      </c>
      <c r="I259" s="5" t="n">
        <v>149.131269416058</v>
      </c>
      <c r="J259" s="5" t="n">
        <v>105</v>
      </c>
      <c r="K259" s="5" t="n">
        <v>102.05</v>
      </c>
      <c r="L259" s="5" t="n">
        <v>0.5104545454545455</v>
      </c>
      <c r="M259" s="5" t="n">
        <v>0.611</v>
      </c>
      <c r="N259" s="5" t="n">
        <v>1121.990909090909</v>
      </c>
      <c r="O259" s="5" t="n">
        <v>145.2289689728334</v>
      </c>
    </row>
    <row r="260">
      <c r="A260" s="3" t="n">
        <v>44378</v>
      </c>
      <c r="B260" s="4" t="inlineStr">
        <is>
          <t>2021m7</t>
        </is>
      </c>
      <c r="C260" s="5" t="n">
        <v>100.2519</v>
      </c>
      <c r="D260" s="5" t="n">
        <v>99.2454505104305</v>
      </c>
      <c r="E260" s="5" t="n">
        <v>72.99761904761905</v>
      </c>
      <c r="F260" s="5" t="n">
        <v>0.22</v>
      </c>
      <c r="G260" s="5" t="n">
        <v>-0.551676986</v>
      </c>
      <c r="H260" s="5" t="n">
        <v>17.60333333333334</v>
      </c>
      <c r="I260" s="5" t="n">
        <v>182.171409450722</v>
      </c>
      <c r="J260" s="5" t="n">
        <v>105.1</v>
      </c>
      <c r="K260" s="5" t="n">
        <v>102.26</v>
      </c>
      <c r="L260" s="5" t="n">
        <v>0.5281818181818182</v>
      </c>
      <c r="M260" s="5" t="n">
        <v>0.4689999999999999</v>
      </c>
      <c r="N260" s="5" t="n">
        <v>1145.140909090909</v>
      </c>
      <c r="O260" s="5" t="n">
        <v>150.9400402234748</v>
      </c>
    </row>
    <row r="261">
      <c r="A261" s="3" t="n">
        <v>44409</v>
      </c>
      <c r="B261" s="4" t="inlineStr">
        <is>
          <t>2021m8</t>
        </is>
      </c>
      <c r="C261" s="5" t="n">
        <v>100.0437</v>
      </c>
      <c r="D261" s="5" t="n">
        <v>99.42299156679979</v>
      </c>
      <c r="E261" s="5" t="n">
        <v>68.84714285714286</v>
      </c>
      <c r="F261" s="5" t="n">
        <v>0.22</v>
      </c>
      <c r="G261" s="5" t="n">
        <v>-0.47390932</v>
      </c>
      <c r="H261" s="5" t="n">
        <v>17.47272727272727</v>
      </c>
      <c r="I261" s="5" t="n">
        <v>157.1952139740155</v>
      </c>
      <c r="J261" s="5" t="n">
        <v>105</v>
      </c>
      <c r="K261" s="5" t="n">
        <v>102.75</v>
      </c>
      <c r="L261" s="5" t="n">
        <v>0.5776190476190477</v>
      </c>
      <c r="M261" s="5" t="n">
        <v>0.427</v>
      </c>
      <c r="N261" s="5" t="n">
        <v>1161.095238095238</v>
      </c>
      <c r="O261" s="5" t="n">
        <v>184.0365767900114</v>
      </c>
    </row>
    <row r="262">
      <c r="A262" s="3" t="n">
        <v>44440</v>
      </c>
      <c r="B262" s="4" t="inlineStr">
        <is>
          <t>2021m9</t>
        </is>
      </c>
      <c r="C262" s="5" t="n">
        <v>98.8579</v>
      </c>
      <c r="D262" s="5" t="n">
        <v>98.890368397692</v>
      </c>
      <c r="E262" s="5" t="n">
        <v>72.23727272727272</v>
      </c>
      <c r="F262" s="5" t="n">
        <v>0.24</v>
      </c>
      <c r="G262" s="5" t="n">
        <v>-0.644406048</v>
      </c>
      <c r="H262" s="5" t="n">
        <v>19.8247619047619</v>
      </c>
      <c r="I262" s="5" t="n">
        <v>171.3004476777602</v>
      </c>
      <c r="J262" s="5" t="n">
        <v>106.1</v>
      </c>
      <c r="K262" s="5" t="n">
        <v>103.17</v>
      </c>
      <c r="L262" s="5" t="n">
        <v>0.7773684210526316</v>
      </c>
      <c r="M262" s="5" t="n">
        <v>0.4380000000000002</v>
      </c>
      <c r="N262" s="5" t="n">
        <v>1170.426315789474</v>
      </c>
      <c r="O262" s="5" t="n">
        <v>166.5903381814462</v>
      </c>
    </row>
    <row r="263">
      <c r="A263" s="3" t="n">
        <v>44470</v>
      </c>
      <c r="B263" s="4" t="inlineStr">
        <is>
          <t>2021m10</t>
        </is>
      </c>
      <c r="C263" s="5" t="n">
        <v>100.1861</v>
      </c>
      <c r="D263" s="5" t="n">
        <v>99.9556147359077</v>
      </c>
      <c r="E263" s="5" t="n">
        <v>81.21666666666667</v>
      </c>
      <c r="F263" s="5" t="n">
        <v>0.39</v>
      </c>
      <c r="G263" s="5" t="n">
        <v>-0.523396255</v>
      </c>
      <c r="H263" s="5" t="n">
        <v>17.87142857142857</v>
      </c>
      <c r="I263" s="5" t="n">
        <v>136.9202389731853</v>
      </c>
      <c r="J263" s="5" t="n">
        <v>106.7</v>
      </c>
      <c r="K263" s="5" t="n">
        <v>103.35</v>
      </c>
      <c r="L263" s="5" t="n">
        <v>0.741578947368421</v>
      </c>
      <c r="M263" s="5" t="n">
        <v>0.46</v>
      </c>
      <c r="N263" s="5" t="n">
        <v>1181.873684210526</v>
      </c>
      <c r="O263" s="5" t="n">
        <v>205.4068874267853</v>
      </c>
    </row>
    <row r="264">
      <c r="A264" s="3" t="n">
        <v>44501</v>
      </c>
      <c r="B264" s="4" t="inlineStr">
        <is>
          <t>2021m11</t>
        </is>
      </c>
      <c r="C264" s="5" t="n">
        <v>100.8654</v>
      </c>
      <c r="D264" s="5" t="n">
        <v>101.731025299601</v>
      </c>
      <c r="E264" s="5" t="n">
        <v>79.67857142857143</v>
      </c>
      <c r="F264" s="5" t="n">
        <v>0.51</v>
      </c>
      <c r="G264" s="5" t="n">
        <v>-0.449534067</v>
      </c>
      <c r="H264" s="5" t="n">
        <v>18.50047619047619</v>
      </c>
      <c r="I264" s="5" t="n">
        <v>175.8728799321725</v>
      </c>
      <c r="J264" s="5" t="n">
        <v>108.3</v>
      </c>
      <c r="K264" s="5" t="n">
        <v>103.87</v>
      </c>
      <c r="L264" s="5" t="n">
        <v>0.8120909090909091</v>
      </c>
      <c r="M264" s="5" t="n">
        <v>0.5389999999999999</v>
      </c>
      <c r="N264" s="5" t="n">
        <v>1183.368181818182</v>
      </c>
      <c r="O264" s="5" t="n">
        <v>217.7257613726554</v>
      </c>
    </row>
    <row r="265">
      <c r="A265" s="3" t="n">
        <v>44531</v>
      </c>
      <c r="B265" s="4" t="inlineStr">
        <is>
          <t>2021m12</t>
        </is>
      </c>
      <c r="C265" s="5" t="n">
        <v>100.5726</v>
      </c>
      <c r="D265" s="5" t="n">
        <v>103.151353750555</v>
      </c>
      <c r="E265" s="5" t="n">
        <v>72.75652173913043</v>
      </c>
      <c r="F265" s="5" t="n">
        <v>0.68</v>
      </c>
      <c r="G265" s="5" t="n">
        <v>-0.44312942</v>
      </c>
      <c r="H265" s="5" t="n">
        <v>21.35454545454546</v>
      </c>
      <c r="I265" s="5" t="n">
        <v>201.4336653241074</v>
      </c>
      <c r="J265" s="5" t="n">
        <v>109.5</v>
      </c>
      <c r="K265" s="5" t="n">
        <v>104.04</v>
      </c>
      <c r="L265" s="5" t="n">
        <v>1.027347826086957</v>
      </c>
      <c r="M265" s="5" t="n">
        <v>0.6100000000000001</v>
      </c>
      <c r="N265" s="5" t="n">
        <v>1183.777272727273</v>
      </c>
      <c r="O265" s="5" t="n">
        <v>255.3887188216502</v>
      </c>
    </row>
    <row r="266">
      <c r="A266" s="3" t="n">
        <v>44562</v>
      </c>
      <c r="B266" s="4" t="inlineStr">
        <is>
          <t>2022m1</t>
        </is>
      </c>
      <c r="C266" s="5" t="n">
        <v>100.1856</v>
      </c>
      <c r="D266" s="5" t="n">
        <v>104.571682201509</v>
      </c>
      <c r="E266" s="5" t="n">
        <v>83.1152380952381</v>
      </c>
      <c r="F266" s="5" t="n">
        <v>0.98</v>
      </c>
      <c r="G266" s="5" t="n">
        <v>-0.348436832</v>
      </c>
      <c r="H266" s="5" t="n">
        <v>23.181</v>
      </c>
      <c r="I266" s="5" t="n">
        <v>155.279658979555</v>
      </c>
      <c r="J266" s="5" t="n">
        <v>110.1</v>
      </c>
      <c r="K266" s="5" t="n">
        <v>104.85</v>
      </c>
      <c r="L266" s="5" t="n">
        <v>1.17505</v>
      </c>
      <c r="M266" s="5" t="n">
        <v>0.5720000000000001</v>
      </c>
      <c r="N266" s="5" t="n">
        <v>1195.3</v>
      </c>
      <c r="O266" s="5" t="n">
        <v>228.8024270483159</v>
      </c>
    </row>
    <row r="267">
      <c r="A267" s="3" t="n">
        <v>44593</v>
      </c>
      <c r="B267" s="4" t="inlineStr">
        <is>
          <t>2022m2</t>
        </is>
      </c>
      <c r="C267" s="5" t="n">
        <v>100.8064</v>
      </c>
      <c r="D267" s="5" t="n">
        <v>104.926764314248</v>
      </c>
      <c r="E267" s="5" t="n">
        <v>93.12944444444445</v>
      </c>
      <c r="F267" s="5" t="n">
        <v>1.44</v>
      </c>
      <c r="G267" s="5" t="n">
        <v>-0.214296132</v>
      </c>
      <c r="H267" s="5" t="n">
        <v>25.74842105263158</v>
      </c>
      <c r="I267" s="5" t="n">
        <v>140.442501940303</v>
      </c>
      <c r="J267" s="5" t="n">
        <v>108.3</v>
      </c>
      <c r="K267" s="5" t="n">
        <v>105.42</v>
      </c>
      <c r="L267" s="5" t="n">
        <v>1.229111111111111</v>
      </c>
      <c r="M267" s="5" t="n">
        <v>0.5880000000000001</v>
      </c>
      <c r="N267" s="5" t="n">
        <v>1197.75</v>
      </c>
      <c r="O267" s="5" t="n">
        <v>270.1533185291024</v>
      </c>
    </row>
    <row r="268">
      <c r="A268" s="3" t="n">
        <v>44621</v>
      </c>
      <c r="B268" s="4" t="inlineStr">
        <is>
          <t>2022m3</t>
        </is>
      </c>
      <c r="C268" s="5" t="n">
        <v>101.3907</v>
      </c>
      <c r="D268" s="5" t="n">
        <v>103.683976919663</v>
      </c>
      <c r="E268" s="5" t="n">
        <v>113.1086956521739</v>
      </c>
      <c r="F268" s="5" t="n">
        <v>1.91</v>
      </c>
      <c r="G268" s="5" t="n">
        <v>-0.867984595</v>
      </c>
      <c r="H268" s="5" t="n">
        <v>26.96869565217391</v>
      </c>
      <c r="I268" s="5" t="n">
        <v>229.2447416565428</v>
      </c>
      <c r="J268" s="5" t="n">
        <v>109.7</v>
      </c>
      <c r="K268" s="5" t="n">
        <v>106.1</v>
      </c>
      <c r="L268" s="5" t="n">
        <v>1.245714285714286</v>
      </c>
      <c r="M268" s="5" t="n">
        <v>0.6589999999999998</v>
      </c>
      <c r="N268" s="5" t="n">
        <v>1221.266666666667</v>
      </c>
      <c r="O268" s="5" t="n">
        <v>364.9962042915318</v>
      </c>
    </row>
    <row r="269">
      <c r="A269" s="3" t="n">
        <v>44652</v>
      </c>
      <c r="B269" s="4" t="inlineStr">
        <is>
          <t>2022m4</t>
        </is>
      </c>
      <c r="C269" s="5" t="n">
        <v>101.44</v>
      </c>
      <c r="D269" s="5" t="n">
        <v>98.71282734132269</v>
      </c>
      <c r="E269" s="5" t="n">
        <v>102.6785</v>
      </c>
      <c r="F269" s="5" t="n">
        <v>2.54</v>
      </c>
      <c r="G269" s="5" t="n">
        <v>-0.322768438</v>
      </c>
      <c r="H269" s="5" t="n">
        <v>24.3735</v>
      </c>
      <c r="I269" s="5" t="n">
        <v>168.8277466050691</v>
      </c>
      <c r="J269" s="5" t="n">
        <v>110.7</v>
      </c>
      <c r="K269" s="5" t="n">
        <v>106.83</v>
      </c>
      <c r="L269" s="5" t="n">
        <v>1.316666666666667</v>
      </c>
      <c r="M269" s="5" t="n">
        <v>0.6899999999999999</v>
      </c>
      <c r="N269" s="5" t="n">
        <v>1235.090476190476</v>
      </c>
      <c r="O269" s="5" t="n">
        <v>233.9176812057925</v>
      </c>
    </row>
    <row r="270">
      <c r="A270" s="3" t="n">
        <v>44682</v>
      </c>
      <c r="B270" s="4" t="inlineStr">
        <is>
          <t>2022m5</t>
        </is>
      </c>
      <c r="C270" s="5" t="n">
        <v>101.3335</v>
      </c>
      <c r="D270" s="5" t="n">
        <v>101.90856635597</v>
      </c>
      <c r="E270" s="5" t="n">
        <v>108.3178947368421</v>
      </c>
      <c r="F270" s="5" t="n">
        <v>2.62</v>
      </c>
      <c r="G270" s="5" t="n">
        <v>-0.122691995</v>
      </c>
      <c r="H270" s="5" t="n">
        <v>29.31363636363636</v>
      </c>
      <c r="I270" s="5" t="n">
        <v>190.453017940867</v>
      </c>
      <c r="J270" s="5" t="n">
        <v>110.8</v>
      </c>
      <c r="K270" s="5" t="n">
        <v>107.5</v>
      </c>
      <c r="L270" s="5" t="n">
        <v>1.512380952380952</v>
      </c>
      <c r="M270" s="5" t="n">
        <v>0.7559999999999998</v>
      </c>
      <c r="N270" s="5" t="n">
        <v>1268.380952380952</v>
      </c>
      <c r="O270" s="5" t="n">
        <v>287.7822541615002</v>
      </c>
    </row>
    <row r="271">
      <c r="A271" s="3" t="n">
        <v>44713</v>
      </c>
      <c r="B271" s="4" t="inlineStr">
        <is>
          <t>2022m6</t>
        </is>
      </c>
      <c r="C271" s="5" t="n">
        <v>101.018</v>
      </c>
      <c r="D271" s="5" t="n">
        <v>102.973812694186</v>
      </c>
      <c r="E271" s="5" t="n">
        <v>115.7331818181818</v>
      </c>
      <c r="F271" s="5" t="n">
        <v>3</v>
      </c>
      <c r="G271" s="5" t="n">
        <v>0.069645873</v>
      </c>
      <c r="H271" s="5" t="n">
        <v>28.23318181818182</v>
      </c>
      <c r="I271" s="5" t="n">
        <v>152.8105740283377</v>
      </c>
      <c r="J271" s="5" t="n">
        <v>111.4</v>
      </c>
      <c r="K271" s="5" t="n">
        <v>108.21</v>
      </c>
      <c r="L271" s="5" t="n">
        <v>1.74985</v>
      </c>
      <c r="M271" s="5" t="n">
        <v>0.7559999999999998</v>
      </c>
      <c r="N271" s="5" t="n">
        <v>1280.825</v>
      </c>
      <c r="O271" s="5" t="n">
        <v>250.1046728187144</v>
      </c>
    </row>
    <row r="272">
      <c r="A272" s="3" t="n">
        <v>44743</v>
      </c>
      <c r="B272" s="4" t="inlineStr">
        <is>
          <t>2022m7</t>
        </is>
      </c>
      <c r="C272" s="5" t="n">
        <v>101.223</v>
      </c>
      <c r="D272" s="5" t="n">
        <v>103.683976919663</v>
      </c>
      <c r="E272" s="5" t="n">
        <v>106.485</v>
      </c>
      <c r="F272" s="5" t="n">
        <v>3.04</v>
      </c>
      <c r="G272" s="5" t="n">
        <v>0.012688492</v>
      </c>
      <c r="H272" s="5" t="n">
        <v>24.99523809523809</v>
      </c>
      <c r="I272" s="5" t="n">
        <v>222.7899375636538</v>
      </c>
      <c r="J272" s="5" t="n">
        <v>112</v>
      </c>
      <c r="K272" s="5" t="n">
        <v>108.73</v>
      </c>
      <c r="L272" s="5" t="n">
        <v>2.013333333333333</v>
      </c>
      <c r="M272" s="5" t="n">
        <v>0.8880000000000003</v>
      </c>
      <c r="N272" s="5" t="n">
        <v>1307.452380952381</v>
      </c>
      <c r="O272" s="5" t="n">
        <v>289.7007691104705</v>
      </c>
    </row>
    <row r="273">
      <c r="A273" s="3" t="n">
        <v>44774</v>
      </c>
      <c r="B273" s="4" t="inlineStr">
        <is>
          <t>2022m8</t>
        </is>
      </c>
      <c r="C273" s="5" t="n">
        <v>101.0963</v>
      </c>
      <c r="D273" s="5" t="n">
        <v>104.216600088771</v>
      </c>
      <c r="E273" s="5" t="n">
        <v>97.74909090909091</v>
      </c>
      <c r="F273" s="5" t="n">
        <v>3.25</v>
      </c>
      <c r="G273" s="5" t="n">
        <v>-0.031072599</v>
      </c>
      <c r="H273" s="5" t="n">
        <v>22.1695652173913</v>
      </c>
      <c r="I273" s="5" t="n">
        <v>183.0348267700993</v>
      </c>
      <c r="J273" s="5" t="n">
        <v>110.9</v>
      </c>
      <c r="K273" s="5" t="n">
        <v>108.63</v>
      </c>
      <c r="L273" s="5" t="n">
        <v>2.270863636363636</v>
      </c>
      <c r="M273" s="5" t="n">
        <v>0.9800000000000004</v>
      </c>
      <c r="N273" s="5" t="n">
        <v>1320.354545454545</v>
      </c>
      <c r="O273" s="5" t="n">
        <v>219.9649980211263</v>
      </c>
    </row>
    <row r="274">
      <c r="A274" s="3" t="n">
        <v>44805</v>
      </c>
      <c r="B274" s="4" t="inlineStr">
        <is>
          <t>2022m9</t>
        </is>
      </c>
      <c r="C274" s="5" t="n">
        <v>101.2918</v>
      </c>
      <c r="D274" s="5" t="n">
        <v>105.281846426986</v>
      </c>
      <c r="E274" s="5" t="n">
        <v>90.63136363636363</v>
      </c>
      <c r="F274" s="5" t="n">
        <v>3.86</v>
      </c>
      <c r="G274" s="5" t="n">
        <v>0.023376246</v>
      </c>
      <c r="H274" s="5" t="n">
        <v>27.34181818181818</v>
      </c>
      <c r="I274" s="5" t="n">
        <v>201.7384894026574</v>
      </c>
      <c r="J274" s="5" t="n">
        <v>110.8</v>
      </c>
      <c r="K274" s="5" t="n">
        <v>108.82</v>
      </c>
      <c r="L274" s="5" t="n">
        <v>2.531</v>
      </c>
      <c r="M274" s="5" t="n">
        <v>0.9970000000000003</v>
      </c>
      <c r="N274" s="5" t="n">
        <v>1396.495</v>
      </c>
      <c r="O274" s="5" t="n">
        <v>240.2163453588296</v>
      </c>
    </row>
    <row r="275">
      <c r="A275" s="3" t="n">
        <v>44835</v>
      </c>
      <c r="B275" s="4" t="inlineStr">
        <is>
          <t>2022m10</t>
        </is>
      </c>
      <c r="C275" s="5" t="n">
        <v>101.2529</v>
      </c>
      <c r="D275" s="5" t="n">
        <v>105.459387483356</v>
      </c>
      <c r="E275" s="5" t="n">
        <v>90.5925</v>
      </c>
      <c r="F275" s="5" t="n">
        <v>4.38</v>
      </c>
      <c r="G275" s="5" t="n">
        <v>0.1056268714087993</v>
      </c>
      <c r="H275" s="5" t="n">
        <v>30.00571428571429</v>
      </c>
      <c r="I275" s="5" t="n">
        <v>207.2753347956232</v>
      </c>
      <c r="J275" s="5" t="n">
        <v>110.1</v>
      </c>
      <c r="K275" s="5" t="n">
        <v>109.16</v>
      </c>
      <c r="L275" s="5" t="n">
        <v>2.97621052631579</v>
      </c>
      <c r="M275" s="5" t="n">
        <v>1.201</v>
      </c>
      <c r="N275" s="5" t="n">
        <v>1425.831578947368</v>
      </c>
      <c r="O275" s="5" t="n">
        <v>324.0391821099277</v>
      </c>
    </row>
    <row r="276">
      <c r="A276" s="3" t="n">
        <v>44866</v>
      </c>
      <c r="B276" s="4" t="inlineStr">
        <is>
          <t>2022m11</t>
        </is>
      </c>
      <c r="C276" s="5" t="n">
        <v>100.9552</v>
      </c>
      <c r="D276" s="5" t="n">
        <v>104.216600088771</v>
      </c>
      <c r="E276" s="5" t="n">
        <v>86.28363636363636</v>
      </c>
      <c r="F276" s="5" t="n">
        <v>4.5</v>
      </c>
      <c r="G276" s="5" t="n">
        <v>-0.222350227</v>
      </c>
      <c r="H276" s="5" t="n">
        <v>23.29909090909091</v>
      </c>
      <c r="I276" s="5" t="n">
        <v>210.3748941932042</v>
      </c>
      <c r="J276" s="5" t="n">
        <v>111.4</v>
      </c>
      <c r="K276" s="5" t="n">
        <v>109.07</v>
      </c>
      <c r="L276" s="5" t="n">
        <v>3.097772727272727</v>
      </c>
      <c r="M276" s="5" t="n">
        <v>1.592</v>
      </c>
      <c r="N276" s="5" t="n">
        <v>1357.859090909091</v>
      </c>
      <c r="O276" s="5" t="n">
        <v>256.8474818674381</v>
      </c>
    </row>
    <row r="277">
      <c r="A277" s="3" t="n">
        <v>44896</v>
      </c>
      <c r="B277" s="4" t="inlineStr">
        <is>
          <t>2022m12</t>
        </is>
      </c>
      <c r="C277" s="5" t="n">
        <v>99.7664</v>
      </c>
      <c r="D277" s="5" t="n">
        <v>104.39414114514</v>
      </c>
      <c r="E277" s="5" t="n">
        <v>76.78363636363636</v>
      </c>
      <c r="F277" s="5" t="n">
        <v>4.29</v>
      </c>
      <c r="G277" s="5" t="n">
        <v>-0.000515</v>
      </c>
      <c r="H277" s="5" t="n">
        <v>21.78428571428572</v>
      </c>
      <c r="I277" s="5" t="n">
        <v>150.0371240726886</v>
      </c>
      <c r="J277" s="5" t="n">
        <v>109.5</v>
      </c>
      <c r="K277" s="5" t="n">
        <v>109.26</v>
      </c>
      <c r="L277" s="5" t="n">
        <v>3.237818181818182</v>
      </c>
      <c r="M277" s="5" t="n">
        <v>1.672</v>
      </c>
      <c r="N277" s="5" t="n">
        <v>1294.423809523809</v>
      </c>
      <c r="O277" s="5" t="n">
        <v>260.7699787188116</v>
      </c>
    </row>
    <row r="278">
      <c r="A278" s="3" t="n">
        <v>44927</v>
      </c>
      <c r="B278" s="4" t="inlineStr">
        <is>
          <t>2023m1</t>
        </is>
      </c>
      <c r="C278" s="5" t="n">
        <v>100.505</v>
      </c>
      <c r="D278" s="5" t="n">
        <v>105.636928539725</v>
      </c>
      <c r="E278" s="5" t="n">
        <v>80.03272727272727</v>
      </c>
      <c r="F278" s="5" t="n">
        <v>4.21</v>
      </c>
      <c r="G278" s="5" t="n">
        <v>-0.010451689</v>
      </c>
      <c r="H278" s="5" t="n">
        <v>20.16904761904762</v>
      </c>
      <c r="I278" s="5" t="n">
        <v>161.427113518284</v>
      </c>
      <c r="J278" s="5" t="n">
        <v>108.9</v>
      </c>
      <c r="K278" s="5" t="n">
        <v>110.07</v>
      </c>
      <c r="L278" s="5" t="n">
        <v>3.29275</v>
      </c>
      <c r="M278" s="5" t="n">
        <v>1.244</v>
      </c>
      <c r="N278" s="5" t="n">
        <v>1245.34</v>
      </c>
      <c r="O278" s="5" t="n">
        <v>251.3682387360197</v>
      </c>
    </row>
    <row r="279">
      <c r="A279" s="3" t="n">
        <v>44958</v>
      </c>
      <c r="B279" s="4" t="inlineStr">
        <is>
          <t>2023m2</t>
        </is>
      </c>
      <c r="C279" s="5" t="n">
        <v>100.6416</v>
      </c>
      <c r="D279" s="5" t="n">
        <v>105.992010652463</v>
      </c>
      <c r="E279" s="5" t="n">
        <v>81.21250000000001</v>
      </c>
      <c r="F279" s="5" t="n">
        <v>4.53</v>
      </c>
      <c r="G279" s="5" t="n">
        <v>-0.141215537</v>
      </c>
      <c r="H279" s="5" t="n">
        <v>20.1205</v>
      </c>
      <c r="I279" s="5" t="n">
        <v>152.9672810638032</v>
      </c>
      <c r="J279" s="5" t="n">
        <v>110.6</v>
      </c>
      <c r="K279" s="5" t="n">
        <v>110.33</v>
      </c>
      <c r="L279" s="5" t="n">
        <v>3.4256</v>
      </c>
      <c r="M279" s="5" t="n">
        <v>0.8039999999999998</v>
      </c>
      <c r="N279" s="5" t="n">
        <v>1276.54</v>
      </c>
      <c r="O279" s="5" t="n">
        <v>264.3936800743113</v>
      </c>
    </row>
    <row r="280">
      <c r="A280" s="3" t="n">
        <v>44986</v>
      </c>
      <c r="B280" s="4" t="inlineStr">
        <is>
          <t>2023m3</t>
        </is>
      </c>
      <c r="C280" s="5" t="n">
        <v>101.0205</v>
      </c>
      <c r="D280" s="5" t="n">
        <v>107.057256990679</v>
      </c>
      <c r="E280" s="5" t="n">
        <v>77.51521739130435</v>
      </c>
      <c r="F280" s="5" t="n">
        <v>4.3</v>
      </c>
      <c r="G280" s="5" t="n">
        <v>-0.174891206</v>
      </c>
      <c r="H280" s="5" t="n">
        <v>21.64434782608696</v>
      </c>
      <c r="I280" s="5" t="n">
        <v>200.4899363224925</v>
      </c>
      <c r="J280" s="5" t="n">
        <v>111.2</v>
      </c>
      <c r="K280" s="5" t="n">
        <v>110.52</v>
      </c>
      <c r="L280" s="5" t="n">
        <v>3.432863636363636</v>
      </c>
      <c r="M280" s="5" t="n">
        <v>0.7230000000000003</v>
      </c>
      <c r="N280" s="5" t="n">
        <v>1305.395454545455</v>
      </c>
      <c r="O280" s="5" t="n">
        <v>326.1942871767803</v>
      </c>
    </row>
    <row r="281">
      <c r="A281" s="3" t="n">
        <v>45017</v>
      </c>
      <c r="B281" s="4" t="inlineStr">
        <is>
          <t>2023m4</t>
        </is>
      </c>
      <c r="C281" s="5" t="n">
        <v>101.253</v>
      </c>
      <c r="D281" s="5" t="n">
        <v>105.104305370617</v>
      </c>
      <c r="E281" s="5" t="n">
        <v>83.83450000000001</v>
      </c>
      <c r="F281" s="5" t="n">
        <v>4.02</v>
      </c>
      <c r="G281" s="5" t="n">
        <v>0.2159585873725171</v>
      </c>
      <c r="H281" s="5" t="n">
        <v>17.81789473684211</v>
      </c>
      <c r="I281" s="5" t="n">
        <v>165.4175590624888</v>
      </c>
      <c r="J281" s="5" t="n">
        <v>110.2</v>
      </c>
      <c r="K281" s="5" t="n">
        <v>110.77</v>
      </c>
      <c r="L281" s="5" t="n">
        <v>3.4655</v>
      </c>
      <c r="M281" s="5" t="n">
        <v>0.8090000000000002</v>
      </c>
      <c r="N281" s="5" t="n">
        <v>1322.045</v>
      </c>
      <c r="O281" s="5" t="n">
        <v>266.5509329883665</v>
      </c>
    </row>
    <row r="282">
      <c r="A282" s="3" t="n">
        <v>45047</v>
      </c>
      <c r="B282" s="4" t="inlineStr">
        <is>
          <t>2023m5</t>
        </is>
      </c>
      <c r="C282" s="5" t="n">
        <v>100.9286</v>
      </c>
      <c r="D282" s="5" t="n">
        <v>106.524633821571</v>
      </c>
      <c r="E282" s="5" t="n">
        <v>75.07739130434783</v>
      </c>
      <c r="F282" s="5" t="n">
        <v>4.13</v>
      </c>
      <c r="G282" s="5" t="n">
        <v>0.1629347422669582</v>
      </c>
      <c r="H282" s="5" t="n">
        <v>17.63608695652174</v>
      </c>
      <c r="I282" s="5" t="n">
        <v>205.1764576637726</v>
      </c>
      <c r="J282" s="5" t="n">
        <v>112.2</v>
      </c>
      <c r="K282" s="5" t="n">
        <v>111.13</v>
      </c>
      <c r="L282" s="5" t="n">
        <v>3.5725</v>
      </c>
      <c r="M282" s="5" t="n">
        <v>0.8090000000000002</v>
      </c>
      <c r="N282" s="5" t="n">
        <v>1327.925</v>
      </c>
      <c r="O282" s="5" t="n">
        <v>206.3559442689084</v>
      </c>
    </row>
    <row r="283">
      <c r="A283" s="3" t="n">
        <v>45078</v>
      </c>
      <c r="B283" s="4" t="inlineStr">
        <is>
          <t>2023m6</t>
        </is>
      </c>
      <c r="C283" s="5" t="n">
        <v>100.1196</v>
      </c>
      <c r="D283" s="5" t="n">
        <v>107.589880159787</v>
      </c>
      <c r="E283" s="5" t="n">
        <v>74.66545454545454</v>
      </c>
      <c r="F283" s="5" t="n">
        <v>4.64</v>
      </c>
      <c r="G283" s="5" t="n">
        <v>0.2046265051308926</v>
      </c>
      <c r="H283" s="5" t="n">
        <v>14.00318181818182</v>
      </c>
      <c r="I283" s="5" t="n">
        <v>179.3080436058066</v>
      </c>
      <c r="J283" s="5" t="n">
        <v>111.8</v>
      </c>
      <c r="K283" s="5" t="n">
        <v>111.16</v>
      </c>
      <c r="L283" s="5" t="n">
        <v>3.565333333333333</v>
      </c>
      <c r="M283" s="5" t="n">
        <v>0.8079999999999998</v>
      </c>
      <c r="N283" s="5" t="n">
        <v>1296.552380952381</v>
      </c>
      <c r="O283" s="5" t="n">
        <v>192.3544919129476</v>
      </c>
    </row>
    <row r="284">
      <c r="A284" s="3" t="n">
        <v>45108</v>
      </c>
      <c r="B284" s="4" t="inlineStr">
        <is>
          <t>2023m7</t>
        </is>
      </c>
      <c r="C284" s="5" t="n">
        <v>100.9067</v>
      </c>
      <c r="D284" s="5" t="n">
        <v>108.122503328895</v>
      </c>
      <c r="E284" s="5" t="n">
        <v>80.45523809523809</v>
      </c>
      <c r="F284" s="5" t="n">
        <v>4.83</v>
      </c>
      <c r="G284" s="5" t="n">
        <v>0.042364092</v>
      </c>
      <c r="H284" s="5" t="n">
        <v>13.93238095238095</v>
      </c>
      <c r="I284" s="5" t="n">
        <v>132.710630244132</v>
      </c>
      <c r="J284" s="5" t="n">
        <v>111.1</v>
      </c>
      <c r="K284" s="5" t="n">
        <v>111.29</v>
      </c>
      <c r="L284" s="5" t="n">
        <v>3.507</v>
      </c>
      <c r="M284" s="5" t="n">
        <v>0.7990000000000004</v>
      </c>
      <c r="N284" s="5" t="n">
        <v>1283.219047619048</v>
      </c>
      <c r="O284" s="5" t="n">
        <v>184.4209526755541</v>
      </c>
    </row>
    <row r="285">
      <c r="A285" s="3" t="n">
        <v>45139</v>
      </c>
      <c r="B285" s="4" t="inlineStr">
        <is>
          <t>2023m8</t>
        </is>
      </c>
      <c r="C285" s="5" t="n">
        <v>100.8393</v>
      </c>
      <c r="D285" s="5" t="n">
        <v>109.542831779849</v>
      </c>
      <c r="E285" s="5" t="n">
        <v>86.60739130434783</v>
      </c>
      <c r="F285" s="5" t="n">
        <v>4.9</v>
      </c>
      <c r="G285" s="5" t="n">
        <v>0.09856509300000001</v>
      </c>
      <c r="H285" s="5" t="n">
        <v>15.85391304347826</v>
      </c>
      <c r="I285" s="5" t="n">
        <v>76.8442238599466</v>
      </c>
      <c r="J285" s="5" t="n">
        <v>112.7</v>
      </c>
      <c r="K285" s="5" t="n">
        <v>112.28</v>
      </c>
      <c r="L285" s="5" t="n">
        <v>3.539909090909091</v>
      </c>
      <c r="M285" s="5" t="n">
        <v>0.7730000000000001</v>
      </c>
      <c r="N285" s="5" t="n">
        <v>1321.540909090909</v>
      </c>
      <c r="O285" s="5" t="n">
        <v>215.871973153476</v>
      </c>
    </row>
    <row r="286">
      <c r="A286" s="3" t="n">
        <v>45170</v>
      </c>
      <c r="B286" s="4" t="inlineStr">
        <is>
          <t>2023m9</t>
        </is>
      </c>
      <c r="C286" s="5" t="n">
        <v>101.0211</v>
      </c>
      <c r="D286" s="5" t="n">
        <v>109.897913892588</v>
      </c>
      <c r="E286" s="5" t="n">
        <v>93.08428571428571</v>
      </c>
      <c r="F286" s="5" t="n">
        <v>5.02</v>
      </c>
      <c r="G286" s="5" t="n">
        <v>0.01343593</v>
      </c>
      <c r="H286" s="5" t="n">
        <v>15.17333333333333</v>
      </c>
      <c r="I286" s="5" t="n">
        <v>117.6987774093238</v>
      </c>
      <c r="J286" s="5" t="n">
        <v>114</v>
      </c>
      <c r="K286" s="5" t="n">
        <v>112.85</v>
      </c>
      <c r="L286" s="5" t="n">
        <v>3.595315789473684</v>
      </c>
      <c r="M286" s="5" t="n">
        <v>0.7600000000000002</v>
      </c>
      <c r="N286" s="5" t="n">
        <v>1331.726315789474</v>
      </c>
      <c r="O286" s="5" t="n">
        <v>196.186455723215</v>
      </c>
    </row>
    <row r="287">
      <c r="A287" s="3" t="n">
        <v>45200</v>
      </c>
      <c r="B287" s="4" t="inlineStr">
        <is>
          <t>2023m10</t>
        </is>
      </c>
      <c r="C287" s="5" t="n">
        <v>100.4689</v>
      </c>
      <c r="D287" s="5" t="n">
        <v>110.430537061696</v>
      </c>
      <c r="E287" s="5" t="n">
        <v>90.62272727272727</v>
      </c>
      <c r="F287" s="5" t="n">
        <v>5.07</v>
      </c>
      <c r="G287" s="5" t="n">
        <v>0.2514222948689693</v>
      </c>
      <c r="H287" s="5" t="n">
        <v>18.88772727272727</v>
      </c>
      <c r="I287" s="5" t="n">
        <v>133.5940749761793</v>
      </c>
      <c r="J287" s="5" t="n">
        <v>113.1</v>
      </c>
      <c r="K287" s="5" t="n">
        <v>113.27</v>
      </c>
      <c r="L287" s="5" t="n">
        <v>3.516210526315789</v>
      </c>
      <c r="M287" s="5" t="n">
        <v>0.7960000000000003</v>
      </c>
      <c r="N287" s="5" t="n">
        <v>1351.110526315789</v>
      </c>
      <c r="O287" s="5" t="n">
        <v>333.5769352851053</v>
      </c>
    </row>
    <row r="288">
      <c r="A288" s="3" t="n">
        <v>45231</v>
      </c>
      <c r="B288" s="4" t="inlineStr">
        <is>
          <t>2023m11</t>
        </is>
      </c>
      <c r="C288" s="5" t="n">
        <v>100.8639</v>
      </c>
      <c r="D288" s="5" t="n">
        <v>111.318242343542</v>
      </c>
      <c r="E288" s="5" t="n">
        <v>83.45318181818182</v>
      </c>
      <c r="F288" s="5" t="n">
        <v>4.88</v>
      </c>
      <c r="G288" s="5" t="n">
        <v>-0.056560712</v>
      </c>
      <c r="H288" s="5" t="n">
        <v>14.01909090909091</v>
      </c>
      <c r="I288" s="5" t="n">
        <v>140.6772041917505</v>
      </c>
      <c r="J288" s="5" t="n">
        <v>114</v>
      </c>
      <c r="K288" s="5" t="n">
        <v>112.68</v>
      </c>
      <c r="L288" s="5" t="n">
        <v>3.569136363636364</v>
      </c>
      <c r="M288" s="5" t="n">
        <v>0.8120000000000003</v>
      </c>
      <c r="N288" s="5" t="n">
        <v>1308.009090909091</v>
      </c>
      <c r="O288" s="5" t="n">
        <v>239.1778861460014</v>
      </c>
    </row>
    <row r="289">
      <c r="A289" s="3" t="n">
        <v>45261</v>
      </c>
      <c r="B289" s="4" t="inlineStr">
        <is>
          <t>2023m12</t>
        </is>
      </c>
      <c r="C289" s="5" t="n">
        <v>100.6031</v>
      </c>
      <c r="D289" s="5" t="n">
        <v>111.495783399911</v>
      </c>
      <c r="E289" s="5" t="n">
        <v>77.22142857142858</v>
      </c>
      <c r="F289" s="5" t="n">
        <v>4.46</v>
      </c>
      <c r="G289" s="5" t="n">
        <v>-0.206077633</v>
      </c>
      <c r="H289" s="5" t="n">
        <v>12.7185</v>
      </c>
      <c r="I289" s="5" t="n">
        <v>107.0015790035396</v>
      </c>
      <c r="J289" s="5" t="n">
        <v>113.2</v>
      </c>
      <c r="K289" s="5" t="n">
        <v>112.73</v>
      </c>
      <c r="L289" s="5" t="n">
        <v>3.645</v>
      </c>
      <c r="M289" s="5" t="n">
        <v>0.7259999999999995</v>
      </c>
      <c r="N289" s="5" t="n">
        <v>1305.115789473684</v>
      </c>
      <c r="O289" s="5" t="n">
        <v>233.4369978662045</v>
      </c>
    </row>
    <row r="290">
      <c r="A290" s="3" t="n">
        <v>45292</v>
      </c>
      <c r="B290" s="4" t="inlineStr">
        <is>
          <t>2024m1</t>
        </is>
      </c>
      <c r="C290" s="5" t="n">
        <v>99.2223</v>
      </c>
      <c r="D290" s="5" t="n">
        <v>112.205947625388</v>
      </c>
      <c r="E290" s="5" t="n">
        <v>78.86478260869566</v>
      </c>
      <c r="F290" s="5" t="n">
        <v>4.32</v>
      </c>
      <c r="G290" s="5" t="n">
        <v>-0.040666761</v>
      </c>
      <c r="H290" s="5" t="n">
        <v>13.38863636363636</v>
      </c>
      <c r="I290" s="5" t="n">
        <v>131.2736785982848</v>
      </c>
      <c r="J290" s="5" t="n">
        <v>113.7</v>
      </c>
      <c r="K290" s="5" t="n">
        <v>113.17</v>
      </c>
      <c r="L290" s="5" t="n">
        <v>3.472636363636363</v>
      </c>
      <c r="M290" s="5" t="n">
        <v>0.7469999999999999</v>
      </c>
      <c r="N290" s="5" t="n">
        <v>1325.672727272727</v>
      </c>
      <c r="O290" s="5" t="n">
        <v>252.6821701843646</v>
      </c>
    </row>
    <row r="291">
      <c r="A291" s="3" t="n">
        <v>45323</v>
      </c>
      <c r="B291" s="4" t="inlineStr">
        <is>
          <t>2024m2</t>
        </is>
      </c>
      <c r="C291" s="5" t="n">
        <v>100.285</v>
      </c>
      <c r="D291" s="5" t="n">
        <v>112.561029738127</v>
      </c>
      <c r="E291" s="5" t="n">
        <v>81.17809523809524</v>
      </c>
      <c r="F291" s="5" t="n">
        <v>4.54</v>
      </c>
      <c r="G291" s="5" t="n">
        <v>-0.107260094</v>
      </c>
      <c r="H291" s="5" t="n">
        <v>13.98047619047619</v>
      </c>
      <c r="I291" s="5" t="n">
        <v>106.5128734279369</v>
      </c>
      <c r="J291" s="5" t="n">
        <v>114.7</v>
      </c>
      <c r="K291" s="5" t="n">
        <v>113.78</v>
      </c>
      <c r="L291" s="5" t="n">
        <v>3.582473684210526</v>
      </c>
      <c r="M291" s="5" t="n">
        <v>0.702</v>
      </c>
      <c r="N291" s="5" t="n">
        <v>1331.373684210526</v>
      </c>
      <c r="O291" s="5" t="n">
        <v>187.9255964447742</v>
      </c>
    </row>
    <row r="292">
      <c r="A292" s="3" t="n">
        <v>45352</v>
      </c>
      <c r="B292" s="4" t="inlineStr">
        <is>
          <t>2024m3</t>
        </is>
      </c>
      <c r="C292" s="5" t="n">
        <v>100.4575</v>
      </c>
      <c r="D292" s="5" t="n">
        <v>111.495783399911</v>
      </c>
      <c r="E292" s="5" t="n">
        <v>84.69714285714285</v>
      </c>
      <c r="F292" s="5" t="n">
        <v>4.59</v>
      </c>
      <c r="G292" s="5" t="n">
        <v>-0.06378611100000001</v>
      </c>
      <c r="H292" s="5" t="n">
        <v>13.7875</v>
      </c>
      <c r="I292" s="5" t="n">
        <v>116.7115028989629</v>
      </c>
      <c r="J292" s="5" t="n">
        <v>112.4</v>
      </c>
      <c r="K292" s="5" t="n">
        <v>113.95</v>
      </c>
      <c r="L292" s="5" t="n">
        <v>3.46025</v>
      </c>
      <c r="M292" s="5" t="n">
        <v>0.6339999999999999</v>
      </c>
      <c r="N292" s="5" t="n">
        <v>1331.625</v>
      </c>
      <c r="O292" s="5" t="n">
        <v>145.4360477148243</v>
      </c>
    </row>
    <row r="293">
      <c r="A293" s="3" t="n">
        <v>45383</v>
      </c>
      <c r="B293" s="4" t="inlineStr">
        <is>
          <t>2024m4</t>
        </is>
      </c>
      <c r="C293" s="5" t="n">
        <v>100.2434</v>
      </c>
      <c r="D293" s="5" t="n">
        <v>112.916111850866</v>
      </c>
      <c r="E293" s="5" t="n">
        <v>89.39318181818182</v>
      </c>
      <c r="F293" s="5" t="n">
        <v>4.87</v>
      </c>
      <c r="G293" s="5" t="n">
        <v>-0.178409692</v>
      </c>
      <c r="H293" s="5" t="n">
        <v>16.13772727272728</v>
      </c>
      <c r="I293" s="5" t="n">
        <v>139.4120173422644</v>
      </c>
      <c r="J293" s="5" t="n">
        <v>114.5</v>
      </c>
      <c r="K293" s="5" t="n">
        <v>114.01</v>
      </c>
      <c r="L293" s="5" t="n">
        <v>3.516428571428571</v>
      </c>
      <c r="M293" s="5" t="n">
        <v>0.5350000000000001</v>
      </c>
      <c r="N293" s="5" t="n">
        <v>1369.252380952381</v>
      </c>
      <c r="O293" s="5" t="n">
        <v>244.0782632418476</v>
      </c>
    </row>
    <row r="294">
      <c r="A294" s="3" t="n">
        <v>45413</v>
      </c>
      <c r="B294" s="4" t="inlineStr">
        <is>
          <t>2024m5</t>
        </is>
      </c>
      <c r="C294" s="5" t="n">
        <v>100.863</v>
      </c>
      <c r="D294" s="5" t="n">
        <v>113.093652907235</v>
      </c>
      <c r="E294" s="5" t="n">
        <v>83.53478260869565</v>
      </c>
      <c r="F294" s="5" t="n">
        <v>4.86</v>
      </c>
      <c r="G294" s="5" t="n">
        <v>-0.104570002</v>
      </c>
      <c r="H294" s="5" t="n">
        <v>13.05869565217391</v>
      </c>
      <c r="I294" s="5" t="n">
        <v>123.6075205466712</v>
      </c>
      <c r="J294" s="5" t="n">
        <v>114.1</v>
      </c>
      <c r="K294" s="5" t="n">
        <v>114.1</v>
      </c>
      <c r="L294" s="5" t="n">
        <v>3.5318</v>
      </c>
      <c r="M294" s="5" t="n">
        <v>0.444</v>
      </c>
      <c r="N294" s="5" t="n">
        <v>1365.045</v>
      </c>
      <c r="O294" s="5" t="n">
        <v>208.4610874507453</v>
      </c>
    </row>
    <row r="295">
      <c r="A295" s="3" t="n">
        <v>45444</v>
      </c>
      <c r="B295" s="4" t="inlineStr">
        <is>
          <t>2024m6</t>
        </is>
      </c>
      <c r="C295" s="5" t="n">
        <v>100.894</v>
      </c>
      <c r="D295" s="5" t="n">
        <v>113.271193963604</v>
      </c>
      <c r="E295" s="5" t="n">
        <v>82.17</v>
      </c>
      <c r="F295" s="5" t="n">
        <v>4.74</v>
      </c>
      <c r="G295" s="5" t="n">
        <v>0.001455876</v>
      </c>
      <c r="H295" s="5" t="n">
        <v>12.667</v>
      </c>
      <c r="I295" s="5" t="n">
        <v>144.1784243956299</v>
      </c>
      <c r="J295" s="5" t="n">
        <v>113.1</v>
      </c>
      <c r="K295" s="5" t="n">
        <v>113.84</v>
      </c>
      <c r="L295" s="5" t="n">
        <v>3.542947368421053</v>
      </c>
      <c r="M295" s="5" t="n">
        <v>0.4460000000000002</v>
      </c>
      <c r="N295" s="5" t="n">
        <v>1379.947368421053</v>
      </c>
      <c r="O295" s="5" t="n">
        <v>198.1856665828405</v>
      </c>
    </row>
    <row r="296">
      <c r="A296" s="3" t="n">
        <v>45474</v>
      </c>
      <c r="B296" s="4" t="inlineStr">
        <is>
          <t>2024m7</t>
        </is>
      </c>
      <c r="C296" s="5" t="n">
        <v>99.9757</v>
      </c>
      <c r="D296" s="5" t="n">
        <v>114.158899245451</v>
      </c>
      <c r="E296" s="5" t="n">
        <v>83.93782608695652</v>
      </c>
      <c r="F296" s="5" t="n">
        <v>4.5</v>
      </c>
      <c r="G296" s="5" t="n">
        <v>-0.061001547</v>
      </c>
      <c r="H296" s="5" t="n">
        <v>14.37391304347826</v>
      </c>
      <c r="I296" s="5" t="n">
        <v>144.9367986114261</v>
      </c>
      <c r="J296" s="5" t="n">
        <v>112.5</v>
      </c>
      <c r="K296" s="5" t="n">
        <v>114.13</v>
      </c>
      <c r="L296" s="5" t="n">
        <v>3.515130434782609</v>
      </c>
      <c r="M296" s="5" t="n">
        <v>0.4589999999999996</v>
      </c>
      <c r="N296" s="5" t="n">
        <v>1383.369565217391</v>
      </c>
      <c r="O296" s="5" t="n">
        <v>177.9265257896688</v>
      </c>
    </row>
    <row r="297">
      <c r="A297" s="3" t="n">
        <v>45505</v>
      </c>
      <c r="B297" s="4" t="inlineStr">
        <is>
          <t>2024m8</t>
        </is>
      </c>
      <c r="C297" s="5" t="n">
        <v>100.4309</v>
      </c>
      <c r="D297" s="5" t="n">
        <v>114.869063470928</v>
      </c>
      <c r="E297" s="5" t="n">
        <v>77.94545454545454</v>
      </c>
      <c r="F297" s="5" t="n">
        <v>3.97</v>
      </c>
      <c r="G297" s="5" t="n">
        <v>-0.008495966000000001</v>
      </c>
      <c r="H297" s="5" t="n">
        <v>19.31227272727273</v>
      </c>
      <c r="I297" s="5" t="n">
        <v>138.3664253273809</v>
      </c>
      <c r="J297" s="5" t="n">
        <v>114.3</v>
      </c>
      <c r="K297" s="5" t="n">
        <v>114.54</v>
      </c>
      <c r="L297" s="5" t="n">
        <v>3.531285714285714</v>
      </c>
      <c r="M297" s="5" t="n">
        <v>0.4940000000000002</v>
      </c>
      <c r="N297" s="5" t="n">
        <v>1352.871428571429</v>
      </c>
      <c r="O297" s="5" t="n">
        <v>164.3227714420715</v>
      </c>
    </row>
    <row r="298">
      <c r="A298" s="3" t="n">
        <v>45536</v>
      </c>
      <c r="B298" s="4" t="inlineStr">
        <is>
          <t>2024m9</t>
        </is>
      </c>
      <c r="C298" s="5" t="n">
        <v>99.80840000000001</v>
      </c>
      <c r="D298" s="5" t="n">
        <v>115.579227696405</v>
      </c>
      <c r="E298" s="5" t="n">
        <v>73.42714285714285</v>
      </c>
      <c r="F298" s="5" t="n">
        <v>3.62</v>
      </c>
      <c r="G298" s="5" t="n">
        <v>-0.066409247</v>
      </c>
      <c r="H298" s="5" t="n">
        <v>17.66333333333333</v>
      </c>
      <c r="I298" s="5" t="n">
        <v>127.3991206274983</v>
      </c>
      <c r="J298" s="5" t="n">
        <v>113.6</v>
      </c>
      <c r="K298" s="5" t="n">
        <v>114.65</v>
      </c>
      <c r="L298" s="5" t="n">
        <v>3.524166666666667</v>
      </c>
      <c r="M298" s="5" t="n">
        <v>0.5800000000000001</v>
      </c>
      <c r="N298" s="5" t="n">
        <v>1332.761111111111</v>
      </c>
      <c r="O298" s="5" t="n">
        <v>176.2977284759814</v>
      </c>
    </row>
    <row r="299">
      <c r="A299" s="3" t="n">
        <v>45566</v>
      </c>
      <c r="B299" s="4" t="inlineStr">
        <is>
          <t>2024m10</t>
        </is>
      </c>
      <c r="C299" s="5" t="n">
        <v>99.4695</v>
      </c>
      <c r="D299" s="5" t="n">
        <v>116.466932978251</v>
      </c>
      <c r="E299" s="5" t="n">
        <v>74.64478260869565</v>
      </c>
      <c r="F299" s="5" t="n">
        <v>3.97</v>
      </c>
      <c r="G299" s="5" t="n">
        <v>-0.339019034</v>
      </c>
      <c r="H299" s="5" t="n">
        <v>19.96086956521739</v>
      </c>
      <c r="I299" s="5" t="n">
        <v>109.2908888099702</v>
      </c>
      <c r="J299" s="5" t="n">
        <v>114.9</v>
      </c>
      <c r="K299" s="5" t="n">
        <v>114.69</v>
      </c>
      <c r="L299" s="5" t="n">
        <v>3.3336</v>
      </c>
      <c r="M299" s="5" t="n">
        <v>0.5750000000000002</v>
      </c>
      <c r="N299" s="5" t="n">
        <v>1365.37</v>
      </c>
      <c r="O299" s="5" t="n">
        <v>200.8960396978088</v>
      </c>
    </row>
    <row r="300">
      <c r="A300" s="3" t="n">
        <v>45597</v>
      </c>
      <c r="B300" s="4" t="inlineStr">
        <is>
          <t>2024m11</t>
        </is>
      </c>
      <c r="C300" s="5" t="n">
        <v>99.2925</v>
      </c>
      <c r="D300" s="5" t="n">
        <v>117.354638260098</v>
      </c>
      <c r="E300" s="5" t="n">
        <v>72.79428571428572</v>
      </c>
      <c r="F300" s="5" t="n">
        <v>4.26</v>
      </c>
      <c r="G300" s="5" t="n">
        <v>-0.198655883</v>
      </c>
      <c r="H300" s="5" t="n">
        <v>16.0152380952381</v>
      </c>
      <c r="I300" s="5" t="n">
        <v>225.0490307513769</v>
      </c>
      <c r="J300" s="5" t="n">
        <v>113.5</v>
      </c>
      <c r="K300" s="5" t="n">
        <v>114.4</v>
      </c>
      <c r="L300" s="5" t="n">
        <v>3.241333333333333</v>
      </c>
      <c r="M300" s="5" t="n">
        <v>0.5699999999999998</v>
      </c>
      <c r="N300" s="5" t="n">
        <v>1394.32380952381</v>
      </c>
      <c r="O300" s="5" t="n">
        <v>481.3245904415343</v>
      </c>
    </row>
    <row r="301">
      <c r="A301" s="3" t="n">
        <v>45627</v>
      </c>
      <c r="B301" s="4" t="inlineStr">
        <is>
          <t>2024m12</t>
        </is>
      </c>
      <c r="C301" s="5" t="n">
        <v>100.3273</v>
      </c>
      <c r="D301" s="5" t="n">
        <v>118.242343541944</v>
      </c>
      <c r="E301" s="5" t="n">
        <v>73.31045454545455</v>
      </c>
      <c r="F301" s="5" t="n">
        <v>4.23</v>
      </c>
      <c r="G301" s="5" t="n">
        <v>-0.43939292</v>
      </c>
      <c r="H301" s="5" t="n">
        <v>15.86619047619048</v>
      </c>
      <c r="I301" s="5" t="n">
        <v>218.8454805684385</v>
      </c>
      <c r="J301" s="5" t="n">
        <v>115.1</v>
      </c>
      <c r="K301" s="5" t="n">
        <v>114.91</v>
      </c>
      <c r="L301" s="5" t="n">
        <v>3.053666666666667</v>
      </c>
      <c r="M301" s="5" t="n">
        <v>0.6460000000000004</v>
      </c>
      <c r="N301" s="5" t="n">
        <v>1436.775</v>
      </c>
      <c r="O301" s="5" t="n">
        <v>872.8770264183504</v>
      </c>
    </row>
    <row r="302">
      <c r="A302" s="3" t="n">
        <v>45658</v>
      </c>
      <c r="B302" s="4" t="inlineStr">
        <is>
          <t>2025m1</t>
        </is>
      </c>
      <c r="C302" s="5" t="n">
        <v>100.0647</v>
      </c>
      <c r="D302" s="5" t="n">
        <v>118.419884598313</v>
      </c>
      <c r="E302" s="5" t="n">
        <v>80.14130434782609</v>
      </c>
      <c r="F302" s="5" t="n">
        <v>4.27</v>
      </c>
      <c r="G302" s="5" t="n">
        <v>-0.272400271</v>
      </c>
      <c r="H302" s="5" t="n">
        <v>16.76363636363637</v>
      </c>
      <c r="I302" s="5" t="n">
        <v>236.7870681565192</v>
      </c>
      <c r="J302" s="5" t="n">
        <v>114.1</v>
      </c>
      <c r="K302" s="5" t="n">
        <v>115.71</v>
      </c>
      <c r="L302" s="5" t="n">
        <v>3.0555</v>
      </c>
      <c r="M302" s="5" t="n">
        <v>0.6579999999999999</v>
      </c>
      <c r="N302" s="5" t="n">
        <v>1455.5</v>
      </c>
      <c r="O302" s="5" t="n">
        <v>789.4443847207219</v>
      </c>
    </row>
    <row r="303">
      <c r="A303" s="3" t="n">
        <v>45689</v>
      </c>
      <c r="B303" s="4" t="inlineStr">
        <is>
          <t>2025m2</t>
        </is>
      </c>
      <c r="C303" s="5" t="n">
        <v>101.0993</v>
      </c>
      <c r="D303" s="5" t="n">
        <v>118.774966711052</v>
      </c>
      <c r="E303" s="5" t="n">
        <v>74.9705</v>
      </c>
      <c r="F303" s="5" t="n">
        <v>4.21</v>
      </c>
      <c r="G303" s="5" t="n">
        <v>-0.227568702</v>
      </c>
      <c r="H303" s="5" t="n">
        <v>16.968</v>
      </c>
      <c r="I303" s="5" t="n">
        <v>329.2907931159745</v>
      </c>
      <c r="J303" s="5" t="n">
        <v>114.6</v>
      </c>
      <c r="K303" s="5" t="n">
        <v>116.08</v>
      </c>
      <c r="L303" s="5" t="n">
        <v>2.96585</v>
      </c>
      <c r="M303" s="5" t="n">
        <v>0.5949999999999998</v>
      </c>
      <c r="N303" s="5" t="n">
        <v>1445.575</v>
      </c>
      <c r="O303" s="5" t="n">
        <v>585.1457258656977</v>
      </c>
    </row>
    <row r="304">
      <c r="A304" s="3" t="n">
        <v>45717</v>
      </c>
      <c r="B304" s="4" t="inlineStr">
        <is>
          <t>2025m3</t>
        </is>
      </c>
      <c r="C304" s="5" t="n">
        <v>101.0404</v>
      </c>
      <c r="D304" s="5" t="n">
        <v>119.840213049268</v>
      </c>
      <c r="E304" s="5" t="n">
        <v>71.70950000000001</v>
      </c>
      <c r="F304" s="5" t="n">
        <v>3.97</v>
      </c>
      <c r="G304" s="5" t="n">
        <v>-0.00611337</v>
      </c>
      <c r="H304" s="5" t="n">
        <v>21.84142857142857</v>
      </c>
      <c r="I304" s="5" t="n">
        <v>446.3031627090691</v>
      </c>
      <c r="J304" s="5" t="n">
        <v>115.3</v>
      </c>
      <c r="K304" s="5" t="n">
        <v>116.29</v>
      </c>
      <c r="L304" s="5" t="n">
        <v>2.75205</v>
      </c>
      <c r="M304" s="5" t="n">
        <v>0.5710000000000002</v>
      </c>
      <c r="N304" s="5" t="n">
        <v>1457.915</v>
      </c>
      <c r="O304" s="5" t="n">
        <v>614.288101713707</v>
      </c>
    </row>
    <row r="305">
      <c r="A305" s="3" t="n">
        <v>45748</v>
      </c>
      <c r="B305" s="4" t="inlineStr">
        <is>
          <t>2025m4</t>
        </is>
      </c>
      <c r="C305" s="5" t="n">
        <v>101.1279</v>
      </c>
      <c r="D305" s="5" t="n">
        <v>120.195295162006</v>
      </c>
      <c r="E305" s="5" t="n">
        <v>66.88809523809525</v>
      </c>
      <c r="F305" s="5" t="n">
        <v>3.78</v>
      </c>
      <c r="G305" s="5" t="n">
        <v>-0.061913004</v>
      </c>
      <c r="H305" s="5" t="n">
        <v>31.96619047619047</v>
      </c>
      <c r="I305" s="5" t="n">
        <v>724.9360856008896</v>
      </c>
      <c r="J305" s="5" t="n">
        <v>115.1</v>
      </c>
      <c r="K305" s="5" t="n">
        <v>116.38</v>
      </c>
      <c r="L305" s="5" t="n">
        <v>2.767454545454545</v>
      </c>
      <c r="M305" s="5" t="n">
        <v>0.585</v>
      </c>
      <c r="N305" s="5" t="n">
        <v>1441.918181818182</v>
      </c>
      <c r="O305" s="5" t="n">
        <v>799.7648119338364</v>
      </c>
    </row>
    <row r="306">
      <c r="A306" s="3" t="n">
        <v>45778</v>
      </c>
      <c r="B306" s="4" t="inlineStr">
        <is>
          <t>2025m5</t>
        </is>
      </c>
      <c r="C306" s="5" t="n">
        <v>100.9655</v>
      </c>
      <c r="D306" s="5" t="n">
        <v>120.195295162006</v>
      </c>
      <c r="E306" s="5" t="n">
        <v>63.0065</v>
      </c>
      <c r="F306" s="5" t="n">
        <v>3.92</v>
      </c>
      <c r="G306" s="5" t="n">
        <v>-0.173428658</v>
      </c>
      <c r="H306" s="5" t="n">
        <v>20.46227272727273</v>
      </c>
      <c r="I306" s="5" t="n">
        <v>563.9842129445441</v>
      </c>
      <c r="J306" s="5" t="n">
        <v>114</v>
      </c>
      <c r="K306" s="5" t="n">
        <v>116.27</v>
      </c>
      <c r="L306" s="5" t="n">
        <v>2.739947368421053</v>
      </c>
      <c r="M306" s="5" t="n">
        <v>0.577</v>
      </c>
      <c r="N306" s="5" t="n">
        <v>1390.7</v>
      </c>
      <c r="O306" s="5" t="n">
        <v>588.9872045189394</v>
      </c>
    </row>
    <row r="307">
      <c r="A307" s="3" t="n">
        <v>45809</v>
      </c>
      <c r="B307" s="4" t="inlineStr">
        <is>
          <t>2025m6</t>
        </is>
      </c>
      <c r="C307" s="5" t="n">
        <v>101.4785</v>
      </c>
      <c r="D307" s="5" t="n">
        <v>120.727918331114</v>
      </c>
      <c r="E307" s="5" t="n">
        <v>68.49714285714286</v>
      </c>
      <c r="F307" s="5" t="n">
        <v>3.89</v>
      </c>
      <c r="G307" s="5" t="n">
        <v>-0.188359312</v>
      </c>
      <c r="H307" s="5" t="n">
        <v>18.40333333333334</v>
      </c>
      <c r="I307" s="5" t="n">
        <v>375.5853136260628</v>
      </c>
      <c r="J307" s="5" t="n">
        <v>116</v>
      </c>
      <c r="K307" s="5" t="n">
        <v>116.31</v>
      </c>
      <c r="L307" s="5" t="n">
        <v>2.518842105263158</v>
      </c>
      <c r="M307" s="5" t="n">
        <v>0.5390000000000001</v>
      </c>
      <c r="N307" s="5" t="n">
        <v>1365.152631578947</v>
      </c>
      <c r="O307" s="5" t="n">
        <v>529.5451147149146</v>
      </c>
    </row>
    <row r="308">
      <c r="A308" s="3" t="n">
        <v>45839</v>
      </c>
      <c r="B308" s="4" t="inlineStr">
        <is>
          <t>2025m7</t>
        </is>
      </c>
      <c r="C308" s="5" t="n">
        <v>101.894</v>
      </c>
      <c r="D308" s="5" t="n">
        <v>120.905459387483</v>
      </c>
      <c r="E308" s="5" t="n">
        <v>69.22739130434783</v>
      </c>
      <c r="F308" s="5" t="n">
        <v>3.88</v>
      </c>
      <c r="G308" s="5" t="n">
        <v>-0.208270975</v>
      </c>
      <c r="H308" s="5" t="n">
        <v>16.38130434782608</v>
      </c>
      <c r="I308" s="5" t="n">
        <v>372.0626725597245</v>
      </c>
      <c r="J308" s="5" t="n">
        <v>115.6</v>
      </c>
      <c r="K308" s="5" t="n">
        <v>116.52</v>
      </c>
      <c r="L308" s="5" t="n">
        <v>2.496782608695652</v>
      </c>
      <c r="M308" s="5" t="n">
        <v>0.492</v>
      </c>
      <c r="N308" s="5" t="n">
        <v>1376.917391304348</v>
      </c>
      <c r="O308" s="5" t="n">
        <v>492.634114676837</v>
      </c>
    </row>
    <row r="309">
      <c r="A309" s="3" t="n">
        <v>45870</v>
      </c>
      <c r="B309" s="4" t="inlineStr">
        <is>
          <t>2025m8</t>
        </is>
      </c>
      <c r="C309" s="5" t="n">
        <v>101.6247</v>
      </c>
      <c r="D309" s="5" t="n">
        <v>121.083000443853</v>
      </c>
      <c r="E309" s="5" t="n">
        <v>67.86761904761904</v>
      </c>
      <c r="F309" s="5" t="n">
        <v>3.7</v>
      </c>
      <c r="G309" s="5" t="n">
        <v>-0.155649663</v>
      </c>
      <c r="H309" s="5" t="n">
        <v>15.75</v>
      </c>
      <c r="I309" s="5" t="n">
        <v>370.9254253991595</v>
      </c>
      <c r="J309" s="5" t="n">
        <v>115.5</v>
      </c>
      <c r="K309" s="5" t="n">
        <v>116.45</v>
      </c>
      <c r="L309" s="5" t="n">
        <v>2.5062</v>
      </c>
      <c r="M309" s="5" t="n">
        <v>0.4870000000000001</v>
      </c>
      <c r="N309" s="5" t="n">
        <v>1389.86</v>
      </c>
      <c r="O309" s="5" t="n">
        <v>392.7208159444638</v>
      </c>
    </row>
    <row r="310">
      <c r="A310" s="3" t="n">
        <v>45901</v>
      </c>
      <c r="B310" s="4" t="inlineStr">
        <is>
          <t>2025m9</t>
        </is>
      </c>
      <c r="C310" s="5" t="n">
        <v>101.668</v>
      </c>
      <c r="D310" s="5" t="n">
        <v>122.858411007545</v>
      </c>
      <c r="E310" s="5" t="n">
        <v>67.74727272727273</v>
      </c>
      <c r="F310" s="5" t="n">
        <v>3.57</v>
      </c>
      <c r="G310" s="5" t="n">
        <v>-0.289955753</v>
      </c>
      <c r="H310" s="5" t="n">
        <v>15.78909090909091</v>
      </c>
      <c r="I310" s="5" t="n">
        <v>319.84104140388</v>
      </c>
      <c r="J310" s="5" t="n">
        <v>116.9</v>
      </c>
      <c r="K310" s="5" t="n">
        <v>117.06</v>
      </c>
      <c r="L310" s="5" t="n">
        <v>2.525681818181818</v>
      </c>
      <c r="M310" s="5" t="n">
        <v>0.4620000000000002</v>
      </c>
      <c r="N310" s="5" t="n">
        <v>1392.377272727273</v>
      </c>
      <c r="O310" s="5" t="n">
        <v>390.1746023189515</v>
      </c>
    </row>
    <row r="311">
      <c r="A311" s="3" t="n">
        <v>45931</v>
      </c>
      <c r="B311" s="4" t="inlineStr">
        <is>
          <t>2025m10</t>
        </is>
      </c>
      <c r="C311" s="5" t="n">
        <v>101.2195</v>
      </c>
      <c r="D311" s="5" t="n">
        <v>122.325787838438</v>
      </c>
      <c r="E311" s="5" t="n">
        <v>64.29863636363636</v>
      </c>
      <c r="F311" s="5" t="n">
        <v>3.52</v>
      </c>
      <c r="G311" s="5" t="n">
        <v>-0.257347188</v>
      </c>
      <c r="H311" s="5" t="n">
        <v>18.08652173913044</v>
      </c>
      <c r="I311" s="5" t="n">
        <v>308.3404087671043</v>
      </c>
      <c r="J311" s="5" t="n">
        <v>114.3</v>
      </c>
      <c r="K311" s="5" t="n">
        <v>117.42</v>
      </c>
      <c r="L311" s="5" t="n">
        <v>2.513833333333333</v>
      </c>
      <c r="M311" s="5" t="n">
        <v>0.427</v>
      </c>
      <c r="N311" s="5" t="n">
        <v>1424.827777777778</v>
      </c>
      <c r="O311" s="5" t="n">
        <v>467.1455970159006</v>
      </c>
    </row>
    <row r="312">
      <c r="A312" s="3" t="n">
        <v>45962</v>
      </c>
      <c r="B312" s="4" t="inlineStr">
        <is>
          <t>2025m11</t>
        </is>
      </c>
      <c r="C312" s="5" t="n">
        <v>101.0344</v>
      </c>
      <c r="D312" s="5" t="n">
        <v>123.035952063915</v>
      </c>
      <c r="E312" s="5" t="n">
        <v>63.8275</v>
      </c>
      <c r="F312" s="5" t="n">
        <v>3.55</v>
      </c>
      <c r="G312" s="5" t="n">
        <v>-0.201551391</v>
      </c>
      <c r="H312" s="5" t="n">
        <v>19.7695</v>
      </c>
      <c r="I312" s="5" t="n">
        <v>311.6498466606876</v>
      </c>
      <c r="J312" s="5" t="n">
        <v>115.1</v>
      </c>
      <c r="K312" s="5" t="n">
        <v>117.2</v>
      </c>
      <c r="L312" s="5" t="n">
        <v>2.5089</v>
      </c>
      <c r="M312" s="5" t="n">
        <v>0.419</v>
      </c>
      <c r="N312" s="5" t="n">
        <v>1460.44</v>
      </c>
      <c r="O312" s="5" t="n">
        <v>395.270981792532</v>
      </c>
    </row>
    <row r="313">
      <c r="A313" s="3" t="n">
        <v>45992</v>
      </c>
      <c r="B313" s="4" t="inlineStr">
        <is>
          <t>2025m12</t>
        </is>
      </c>
      <c r="C313" s="5" t="n">
        <v>101.4941</v>
      </c>
      <c r="D313" s="5" t="n">
        <v>124.10119840213</v>
      </c>
      <c r="E313" s="5" t="n">
        <v>61.98136363636363</v>
      </c>
      <c r="F313" s="5" t="n">
        <v>3.5</v>
      </c>
      <c r="G313" s="5" t="n">
        <v>-0.21049914</v>
      </c>
      <c r="H313" s="5" t="n">
        <v>15.54818181818182</v>
      </c>
      <c r="I313" s="5" t="n">
        <v>288.5949912587927</v>
      </c>
      <c r="J313" s="5" t="n">
        <v>116.5</v>
      </c>
      <c r="K313" s="5" t="n">
        <v>117.57</v>
      </c>
      <c r="L313" s="5" t="n">
        <v>2.530090909090909</v>
      </c>
      <c r="M313" s="5" t="n">
        <v>0.492</v>
      </c>
      <c r="N313" s="5" t="n">
        <v>1467.138095238095</v>
      </c>
      <c r="O313" s="5" t="n">
        <v>302.9095337873101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date</t>
        </is>
      </c>
      <c r="B1" s="1" t="inlineStr">
        <is>
          <t>ym</t>
        </is>
      </c>
      <c r="C1" s="1" t="inlineStr">
        <is>
          <t>cds5</t>
        </is>
      </c>
      <c r="D1" s="1" t="inlineStr">
        <is>
          <t>cds5_nobs</t>
        </is>
      </c>
      <c r="E1" s="1" t="inlineStr">
        <is>
          <t>fx_eop</t>
        </is>
      </c>
      <c r="F1" s="1" t="inlineStr">
        <is>
          <t>brent</t>
        </is>
      </c>
      <c r="G1" s="1" t="inlineStr">
        <is>
          <t>chn_imp</t>
        </is>
      </c>
      <c r="H1" s="1" t="inlineStr">
        <is>
          <t>vkospi</t>
        </is>
      </c>
      <c r="I1" s="1" t="inlineStr">
        <is>
          <t>k200_eop</t>
        </is>
      </c>
      <c r="J1" s="1" t="inlineStr">
        <is>
          <t>mfg</t>
        </is>
      </c>
      <c r="K1" s="1" t="inlineStr">
        <is>
          <t>retail</t>
        </is>
      </c>
      <c r="L1" s="1" t="inlineStr">
        <is>
          <t>equip</t>
        </is>
      </c>
      <c r="M1" s="1" t="inlineStr">
        <is>
          <t>us_ffr</t>
        </is>
      </c>
    </row>
    <row r="2">
      <c r="A2" s="3" t="n">
        <v>36526</v>
      </c>
      <c r="B2" s="4" t="inlineStr">
        <is>
          <t>2000m1</t>
        </is>
      </c>
      <c r="E2" s="5" t="n">
        <v>1123.2</v>
      </c>
      <c r="F2" s="5" t="n">
        <v>25.42777777777778</v>
      </c>
      <c r="G2" s="5" t="n">
        <v>16.4852636983828</v>
      </c>
      <c r="J2" s="5" t="n">
        <v>44.8</v>
      </c>
      <c r="K2" s="5" t="n">
        <v>51.2</v>
      </c>
      <c r="L2" s="5" t="n">
        <v>52</v>
      </c>
      <c r="M2" s="5" t="n">
        <v>5.45</v>
      </c>
    </row>
    <row r="3">
      <c r="A3" s="3" t="n">
        <v>36557</v>
      </c>
      <c r="B3" s="4" t="inlineStr">
        <is>
          <t>2000m2</t>
        </is>
      </c>
      <c r="E3" s="5" t="n">
        <v>1131</v>
      </c>
      <c r="F3" s="5" t="n">
        <v>27.7675</v>
      </c>
      <c r="G3" s="5" t="n">
        <v>16.1995551111846</v>
      </c>
      <c r="J3" s="5" t="n">
        <v>44.9</v>
      </c>
      <c r="K3" s="5" t="n">
        <v>51.9</v>
      </c>
      <c r="L3" s="5" t="n">
        <v>53.8</v>
      </c>
      <c r="M3" s="5" t="n">
        <v>5.73</v>
      </c>
    </row>
    <row r="4">
      <c r="A4" s="3" t="n">
        <v>36586</v>
      </c>
      <c r="B4" s="4" t="inlineStr">
        <is>
          <t>2000m3</t>
        </is>
      </c>
      <c r="E4" s="5" t="n">
        <v>1106</v>
      </c>
      <c r="F4" s="5" t="n">
        <v>27.87105263157894</v>
      </c>
      <c r="G4" s="5" t="n">
        <v>16.0361491183257</v>
      </c>
      <c r="J4" s="5" t="n">
        <v>45.4</v>
      </c>
      <c r="K4" s="5" t="n">
        <v>51.6</v>
      </c>
      <c r="L4" s="5" t="n">
        <v>55.3</v>
      </c>
      <c r="M4" s="5" t="n">
        <v>5.85</v>
      </c>
    </row>
    <row r="5">
      <c r="A5" s="3" t="n">
        <v>36617</v>
      </c>
      <c r="B5" s="4" t="inlineStr">
        <is>
          <t>2000m4</t>
        </is>
      </c>
      <c r="E5" s="5" t="n">
        <v>1109.1</v>
      </c>
      <c r="F5" s="5" t="n">
        <v>22.656</v>
      </c>
      <c r="G5" s="5" t="n">
        <v>17.0812806528742</v>
      </c>
      <c r="J5" s="5" t="n">
        <v>45.1</v>
      </c>
      <c r="K5" s="5" t="n">
        <v>52.7</v>
      </c>
      <c r="L5" s="5" t="n">
        <v>59.6</v>
      </c>
      <c r="M5" s="5" t="n">
        <v>6.02</v>
      </c>
    </row>
    <row r="6">
      <c r="A6" s="3" t="n">
        <v>36647</v>
      </c>
      <c r="B6" s="4" t="inlineStr">
        <is>
          <t>2000m5</t>
        </is>
      </c>
      <c r="E6" s="5" t="n">
        <v>1129.4</v>
      </c>
      <c r="F6" s="5" t="n">
        <v>27.61533333333334</v>
      </c>
      <c r="G6" s="5" t="n">
        <v>16.4959566621874</v>
      </c>
      <c r="J6" s="5" t="n">
        <v>46.9</v>
      </c>
      <c r="K6" s="5" t="n">
        <v>54.2</v>
      </c>
      <c r="L6" s="5" t="n">
        <v>56.4</v>
      </c>
      <c r="M6" s="5" t="n">
        <v>6.27</v>
      </c>
    </row>
    <row r="7">
      <c r="A7" s="3" t="n">
        <v>36678</v>
      </c>
      <c r="B7" s="4" t="inlineStr">
        <is>
          <t>2000m6</t>
        </is>
      </c>
      <c r="E7" s="5" t="n">
        <v>1115</v>
      </c>
      <c r="F7" s="5" t="n">
        <v>29.79421052631579</v>
      </c>
      <c r="G7" s="5" t="n">
        <v>17.9610109567311</v>
      </c>
      <c r="J7" s="5" t="n">
        <v>46.4</v>
      </c>
      <c r="K7" s="5" t="n">
        <v>53.6</v>
      </c>
      <c r="L7" s="5" t="n">
        <v>55.9</v>
      </c>
      <c r="M7" s="5" t="n">
        <v>6.53</v>
      </c>
    </row>
    <row r="8">
      <c r="A8" s="3" t="n">
        <v>36708</v>
      </c>
      <c r="B8" s="4" t="inlineStr">
        <is>
          <t>2000m7</t>
        </is>
      </c>
      <c r="E8" s="5" t="n">
        <v>1116.7</v>
      </c>
      <c r="F8" s="5" t="n">
        <v>29.16611111111111</v>
      </c>
      <c r="G8" s="5" t="n">
        <v>18.5390172977971</v>
      </c>
      <c r="J8" s="5" t="n">
        <v>47.9</v>
      </c>
      <c r="K8" s="5" t="n">
        <v>55.2</v>
      </c>
      <c r="L8" s="5" t="n">
        <v>55.9</v>
      </c>
      <c r="M8" s="5" t="n">
        <v>6.54</v>
      </c>
    </row>
    <row r="9">
      <c r="A9" s="3" t="n">
        <v>36739</v>
      </c>
      <c r="B9" s="4" t="inlineStr">
        <is>
          <t>2000m8</t>
        </is>
      </c>
      <c r="E9" s="5" t="n">
        <v>1108.8</v>
      </c>
      <c r="F9" s="5" t="n">
        <v>29.99857142857143</v>
      </c>
      <c r="G9" s="5" t="n">
        <v>18.8016159913052</v>
      </c>
      <c r="J9" s="5" t="n">
        <v>48.6</v>
      </c>
      <c r="K9" s="5" t="n">
        <v>54.6</v>
      </c>
      <c r="L9" s="5" t="n">
        <v>61.9</v>
      </c>
      <c r="M9" s="5" t="n">
        <v>6.5</v>
      </c>
    </row>
    <row r="10">
      <c r="A10" s="3" t="n">
        <v>36770</v>
      </c>
      <c r="B10" s="4" t="inlineStr">
        <is>
          <t>2000m9</t>
        </is>
      </c>
      <c r="E10" s="5" t="n">
        <v>1115</v>
      </c>
      <c r="F10" s="5" t="n">
        <v>33.29388888888889</v>
      </c>
      <c r="G10" s="5" t="n">
        <v>18.806311556223</v>
      </c>
      <c r="J10" s="5" t="n">
        <v>47.4</v>
      </c>
      <c r="K10" s="5" t="n">
        <v>52.8</v>
      </c>
      <c r="L10" s="5" t="n">
        <v>57.3</v>
      </c>
      <c r="M10" s="5" t="n">
        <v>6.52</v>
      </c>
    </row>
    <row r="11">
      <c r="A11" s="3" t="n">
        <v>36800</v>
      </c>
      <c r="B11" s="4" t="inlineStr">
        <is>
          <t>2000m10</t>
        </is>
      </c>
      <c r="E11" s="5" t="n">
        <v>1139</v>
      </c>
      <c r="F11" s="5" t="n">
        <v>30.89526315789474</v>
      </c>
      <c r="G11" s="5" t="n">
        <v>19.0261634560828</v>
      </c>
      <c r="J11" s="5" t="n">
        <v>47.1</v>
      </c>
      <c r="K11" s="5" t="n">
        <v>53</v>
      </c>
      <c r="L11" s="5" t="n">
        <v>57</v>
      </c>
      <c r="M11" s="5" t="n">
        <v>6.51</v>
      </c>
    </row>
    <row r="12">
      <c r="A12" s="3" t="n">
        <v>36831</v>
      </c>
      <c r="B12" s="4" t="inlineStr">
        <is>
          <t>2000m11</t>
        </is>
      </c>
      <c r="E12" s="5" t="n">
        <v>1214.3</v>
      </c>
      <c r="F12" s="5" t="n">
        <v>32.77117647058824</v>
      </c>
      <c r="G12" s="5" t="n">
        <v>19.1361179814711</v>
      </c>
      <c r="J12" s="5" t="n">
        <v>46.4</v>
      </c>
      <c r="K12" s="5" t="n">
        <v>54.4</v>
      </c>
      <c r="L12" s="5" t="n">
        <v>53</v>
      </c>
      <c r="M12" s="5" t="n">
        <v>6.51</v>
      </c>
    </row>
    <row r="13">
      <c r="A13" s="3" t="n">
        <v>36861</v>
      </c>
      <c r="B13" s="4" t="inlineStr">
        <is>
          <t>2000m12</t>
        </is>
      </c>
      <c r="E13" s="5" t="n">
        <v>1264.5</v>
      </c>
      <c r="F13" s="5" t="n">
        <v>25.878</v>
      </c>
      <c r="G13" s="5" t="n">
        <v>18.0475970752753</v>
      </c>
      <c r="J13" s="5" t="n">
        <v>45.7</v>
      </c>
      <c r="K13" s="5" t="n">
        <v>52.5</v>
      </c>
      <c r="L13" s="5" t="n">
        <v>49.6</v>
      </c>
      <c r="M13" s="5" t="n">
        <v>6.4</v>
      </c>
    </row>
    <row r="14">
      <c r="A14" s="3" t="n">
        <v>36892</v>
      </c>
      <c r="B14" s="4" t="inlineStr">
        <is>
          <t>2001m1</t>
        </is>
      </c>
      <c r="E14" s="5" t="n">
        <v>1259</v>
      </c>
      <c r="F14" s="5" t="n">
        <v>25.48357142857143</v>
      </c>
      <c r="G14" s="5" t="n">
        <v>20.2101681410664</v>
      </c>
      <c r="J14" s="5" t="n">
        <v>45.2</v>
      </c>
      <c r="K14" s="5" t="n">
        <v>53.9</v>
      </c>
      <c r="L14" s="5" t="n">
        <v>51.5</v>
      </c>
      <c r="M14" s="5" t="n">
        <v>5.98</v>
      </c>
    </row>
    <row r="15">
      <c r="A15" s="3" t="n">
        <v>36923</v>
      </c>
      <c r="B15" s="4" t="inlineStr">
        <is>
          <t>2001m2</t>
        </is>
      </c>
      <c r="E15" s="5" t="n">
        <v>1250.8</v>
      </c>
      <c r="F15" s="5" t="n">
        <v>27.31357142857143</v>
      </c>
      <c r="G15" s="5" t="n">
        <v>20.209758906444</v>
      </c>
      <c r="J15" s="5" t="n">
        <v>45.7</v>
      </c>
      <c r="K15" s="5" t="n">
        <v>54.7</v>
      </c>
      <c r="L15" s="5" t="n">
        <v>51.4</v>
      </c>
      <c r="M15" s="5" t="n">
        <v>5.49</v>
      </c>
    </row>
    <row r="16">
      <c r="A16" s="3" t="n">
        <v>36951</v>
      </c>
      <c r="B16" s="4" t="inlineStr">
        <is>
          <t>2001m3</t>
        </is>
      </c>
      <c r="E16" s="5" t="n">
        <v>1327.5</v>
      </c>
      <c r="F16" s="5" t="n">
        <v>24.20538461538462</v>
      </c>
      <c r="G16" s="5" t="n">
        <v>20.2547042309917</v>
      </c>
      <c r="J16" s="5" t="n">
        <v>46</v>
      </c>
      <c r="K16" s="5" t="n">
        <v>54.6</v>
      </c>
      <c r="L16" s="5" t="n">
        <v>51.4</v>
      </c>
      <c r="M16" s="5" t="n">
        <v>5.31</v>
      </c>
    </row>
    <row r="17">
      <c r="A17" s="3" t="n">
        <v>36982</v>
      </c>
      <c r="B17" s="4" t="inlineStr">
        <is>
          <t>2001m4</t>
        </is>
      </c>
      <c r="E17" s="5" t="n">
        <v>1319.7</v>
      </c>
      <c r="F17" s="5" t="n">
        <v>25.7745</v>
      </c>
      <c r="G17" s="5" t="n">
        <v>20.4537359157637</v>
      </c>
      <c r="J17" s="5" t="n">
        <v>46.3</v>
      </c>
      <c r="K17" s="5" t="n">
        <v>55.5</v>
      </c>
      <c r="L17" s="5" t="n">
        <v>52</v>
      </c>
      <c r="M17" s="5" t="n">
        <v>4.8</v>
      </c>
    </row>
    <row r="18">
      <c r="A18" s="3" t="n">
        <v>37012</v>
      </c>
      <c r="B18" s="4" t="inlineStr">
        <is>
          <t>2001m5</t>
        </is>
      </c>
      <c r="E18" s="5" t="n">
        <v>1282.7</v>
      </c>
      <c r="F18" s="5" t="n">
        <v>28.31363636363636</v>
      </c>
      <c r="G18" s="5" t="n">
        <v>19.5382348573873</v>
      </c>
      <c r="J18" s="5" t="n">
        <v>46.7</v>
      </c>
      <c r="K18" s="5" t="n">
        <v>57.2</v>
      </c>
      <c r="L18" s="5" t="n">
        <v>49.7</v>
      </c>
      <c r="M18" s="5" t="n">
        <v>4.21</v>
      </c>
    </row>
    <row r="19">
      <c r="A19" s="3" t="n">
        <v>37043</v>
      </c>
      <c r="B19" s="4" t="inlineStr">
        <is>
          <t>2001m6</t>
        </is>
      </c>
      <c r="E19" s="5" t="n">
        <v>1297.5</v>
      </c>
      <c r="F19" s="5" t="n">
        <v>27.81666666666667</v>
      </c>
      <c r="G19" s="5" t="n">
        <v>20.8317667037604</v>
      </c>
      <c r="J19" s="5" t="n">
        <v>46.8</v>
      </c>
      <c r="K19" s="5" t="n">
        <v>57.5</v>
      </c>
      <c r="L19" s="5" t="n">
        <v>49.4</v>
      </c>
      <c r="M19" s="5" t="n">
        <v>3.97</v>
      </c>
    </row>
    <row r="20">
      <c r="A20" s="3" t="n">
        <v>37073</v>
      </c>
      <c r="B20" s="4" t="inlineStr">
        <is>
          <t>2001m7</t>
        </is>
      </c>
      <c r="E20" s="5" t="n">
        <v>1300</v>
      </c>
      <c r="F20" s="5" t="n">
        <v>24.5935</v>
      </c>
      <c r="G20" s="5" t="n">
        <v>20.4147759663261</v>
      </c>
      <c r="J20" s="5" t="n">
        <v>45.9</v>
      </c>
      <c r="K20" s="5" t="n">
        <v>57.3</v>
      </c>
      <c r="L20" s="5" t="n">
        <v>50.7</v>
      </c>
      <c r="M20" s="5" t="n">
        <v>3.77</v>
      </c>
    </row>
    <row r="21">
      <c r="A21" s="3" t="n">
        <v>37104</v>
      </c>
      <c r="B21" s="4" t="inlineStr">
        <is>
          <t>2001m8</t>
        </is>
      </c>
      <c r="E21" s="5" t="n">
        <v>1278</v>
      </c>
      <c r="F21" s="5" t="n">
        <v>25.58</v>
      </c>
      <c r="G21" s="5" t="n">
        <v>20.9027411589074</v>
      </c>
      <c r="J21" s="5" t="n">
        <v>47</v>
      </c>
      <c r="K21" s="5" t="n">
        <v>57.7</v>
      </c>
      <c r="L21" s="5" t="n">
        <v>48</v>
      </c>
      <c r="M21" s="5" t="n">
        <v>3.65</v>
      </c>
    </row>
    <row r="22">
      <c r="A22" s="3" t="n">
        <v>37135</v>
      </c>
      <c r="B22" s="4" t="inlineStr">
        <is>
          <t>2001m9</t>
        </is>
      </c>
      <c r="E22" s="5" t="n">
        <v>1309.6</v>
      </c>
      <c r="F22" s="5" t="n">
        <v>24.21416666666667</v>
      </c>
      <c r="G22" s="5" t="n">
        <v>21.1773538285294</v>
      </c>
      <c r="J22" s="5" t="n">
        <v>47</v>
      </c>
      <c r="K22" s="5" t="n">
        <v>59.6</v>
      </c>
      <c r="L22" s="5" t="n">
        <v>50</v>
      </c>
      <c r="M22" s="5" t="n">
        <v>3.07</v>
      </c>
    </row>
    <row r="23">
      <c r="A23" s="3" t="n">
        <v>37165</v>
      </c>
      <c r="B23" s="4" t="inlineStr">
        <is>
          <t>2001m10</t>
        </is>
      </c>
      <c r="E23" s="5" t="n">
        <v>1296.1</v>
      </c>
      <c r="F23" s="5" t="n">
        <v>20.44</v>
      </c>
      <c r="G23" s="5" t="n">
        <v>20.3630114699152</v>
      </c>
      <c r="J23" s="5" t="n">
        <v>47.3</v>
      </c>
      <c r="K23" s="5" t="n">
        <v>57.8</v>
      </c>
      <c r="L23" s="5" t="n">
        <v>52.6</v>
      </c>
      <c r="M23" s="5" t="n">
        <v>2.49</v>
      </c>
    </row>
    <row r="24">
      <c r="A24" s="3" t="n">
        <v>37196</v>
      </c>
      <c r="B24" s="4" t="inlineStr">
        <is>
          <t>2001m11</t>
        </is>
      </c>
      <c r="E24" s="5" t="n">
        <v>1273</v>
      </c>
      <c r="F24" s="5" t="n">
        <v>18.75176470588235</v>
      </c>
      <c r="G24" s="5" t="n">
        <v>20.5213964902117</v>
      </c>
      <c r="J24" s="5" t="n">
        <v>47.6</v>
      </c>
      <c r="K24" s="5" t="n">
        <v>60.1</v>
      </c>
      <c r="L24" s="5" t="n">
        <v>51.5</v>
      </c>
      <c r="M24" s="5" t="n">
        <v>2.09</v>
      </c>
    </row>
    <row r="25">
      <c r="A25" s="3" t="n">
        <v>37226</v>
      </c>
      <c r="B25" s="4" t="inlineStr">
        <is>
          <t>2001m12</t>
        </is>
      </c>
      <c r="E25" s="5" t="n">
        <v>1313.5</v>
      </c>
      <c r="F25" s="5" t="n">
        <v>18.68833333333333</v>
      </c>
      <c r="G25" s="5" t="n">
        <v>21.2068039366496</v>
      </c>
      <c r="J25" s="5" t="n">
        <v>46.4</v>
      </c>
      <c r="K25" s="5" t="n">
        <v>60.2</v>
      </c>
      <c r="L25" s="5" t="n">
        <v>52.4</v>
      </c>
      <c r="M25" s="5" t="n">
        <v>1.82</v>
      </c>
    </row>
    <row r="26">
      <c r="A26" s="3" t="n">
        <v>37257</v>
      </c>
      <c r="B26" s="4" t="inlineStr">
        <is>
          <t>2002m1</t>
        </is>
      </c>
      <c r="E26" s="5" t="n">
        <v>1314.4</v>
      </c>
      <c r="F26" s="5" t="n">
        <v>19.64388888888889</v>
      </c>
      <c r="G26" s="5" t="n">
        <v>21.0631805537498</v>
      </c>
      <c r="J26" s="5" t="n">
        <v>47.8</v>
      </c>
      <c r="K26" s="5" t="n">
        <v>60.8</v>
      </c>
      <c r="L26" s="5" t="n">
        <v>50.9</v>
      </c>
      <c r="M26" s="5" t="n">
        <v>1.73</v>
      </c>
    </row>
    <row r="27">
      <c r="A27" s="3" t="n">
        <v>37288</v>
      </c>
      <c r="B27" s="4" t="inlineStr">
        <is>
          <t>2002m2</t>
        </is>
      </c>
      <c r="C27" s="5" t="n">
        <v>66.25</v>
      </c>
      <c r="D27" s="6" t="n">
        <v>1</v>
      </c>
      <c r="E27" s="5" t="n">
        <v>1323.8</v>
      </c>
      <c r="F27" s="5" t="n">
        <v>20.04181818181818</v>
      </c>
      <c r="G27" s="5" t="n">
        <v>21.2890797492338</v>
      </c>
      <c r="J27" s="5" t="n">
        <v>48.8</v>
      </c>
      <c r="K27" s="5" t="n">
        <v>62.3</v>
      </c>
      <c r="L27" s="5" t="n">
        <v>53.1</v>
      </c>
      <c r="M27" s="5" t="n">
        <v>1.74</v>
      </c>
    </row>
    <row r="28">
      <c r="A28" s="3" t="n">
        <v>37316</v>
      </c>
      <c r="B28" s="4" t="inlineStr">
        <is>
          <t>2002m3</t>
        </is>
      </c>
      <c r="C28" s="5" t="n">
        <v>57.125</v>
      </c>
      <c r="D28" s="6" t="n">
        <v>20</v>
      </c>
      <c r="E28" s="5" t="n">
        <v>1325.9</v>
      </c>
      <c r="F28" s="5" t="n">
        <v>23.769</v>
      </c>
      <c r="G28" s="5" t="n">
        <v>22.8053881161194</v>
      </c>
      <c r="J28" s="5" t="n">
        <v>50</v>
      </c>
      <c r="K28" s="5" t="n">
        <v>63.2</v>
      </c>
      <c r="L28" s="5" t="n">
        <v>54.3</v>
      </c>
      <c r="M28" s="5" t="n">
        <v>1.73</v>
      </c>
    </row>
    <row r="29">
      <c r="A29" s="3" t="n">
        <v>37347</v>
      </c>
      <c r="B29" s="4" t="inlineStr">
        <is>
          <t>2002m4</t>
        </is>
      </c>
      <c r="C29" s="5" t="n">
        <v>47.48242105263157</v>
      </c>
      <c r="D29" s="6" t="n">
        <v>19</v>
      </c>
      <c r="E29" s="5" t="n">
        <v>1294</v>
      </c>
      <c r="F29" s="5" t="n">
        <v>25.84666666666666</v>
      </c>
      <c r="G29" s="5" t="n">
        <v>23.6955475387797</v>
      </c>
      <c r="J29" s="5" t="n">
        <v>50.4</v>
      </c>
      <c r="K29" s="5" t="n">
        <v>63.2</v>
      </c>
      <c r="L29" s="5" t="n">
        <v>55.4</v>
      </c>
      <c r="M29" s="5" t="n">
        <v>1.75</v>
      </c>
    </row>
    <row r="30">
      <c r="A30" s="3" t="n">
        <v>37377</v>
      </c>
      <c r="B30" s="4" t="inlineStr">
        <is>
          <t>2002m5</t>
        </is>
      </c>
      <c r="C30" s="5" t="n">
        <v>57.125</v>
      </c>
      <c r="D30" s="6" t="n">
        <v>18</v>
      </c>
      <c r="E30" s="5" t="n">
        <v>1226.3</v>
      </c>
      <c r="F30" s="5" t="n">
        <v>25.45823529411765</v>
      </c>
      <c r="G30" s="5" t="n">
        <v>23.5878745738185</v>
      </c>
      <c r="J30" s="5" t="n">
        <v>49.9</v>
      </c>
      <c r="K30" s="5" t="n">
        <v>62.4</v>
      </c>
      <c r="L30" s="5" t="n">
        <v>54.2</v>
      </c>
      <c r="M30" s="5" t="n">
        <v>1.75</v>
      </c>
    </row>
    <row r="31">
      <c r="A31" s="3" t="n">
        <v>37408</v>
      </c>
      <c r="B31" s="4" t="inlineStr">
        <is>
          <t>2002m6</t>
        </is>
      </c>
      <c r="C31" s="5" t="n">
        <v>60.03335</v>
      </c>
      <c r="D31" s="6" t="n">
        <v>20</v>
      </c>
      <c r="E31" s="5" t="n">
        <v>1201.3</v>
      </c>
      <c r="F31" s="5" t="n">
        <v>23.97833333333334</v>
      </c>
      <c r="G31" s="5" t="n">
        <v>24.0843114019763</v>
      </c>
      <c r="J31" s="5" t="n">
        <v>49.5</v>
      </c>
      <c r="K31" s="5" t="n">
        <v>62.3</v>
      </c>
      <c r="L31" s="5" t="n">
        <v>54.9</v>
      </c>
      <c r="M31" s="5" t="n">
        <v>1.75</v>
      </c>
    </row>
    <row r="32">
      <c r="A32" s="3" t="n">
        <v>37438</v>
      </c>
      <c r="B32" s="4" t="inlineStr">
        <is>
          <t>2002m7</t>
        </is>
      </c>
      <c r="C32" s="5" t="n">
        <v>59.85963157894737</v>
      </c>
      <c r="D32" s="6" t="n">
        <v>19</v>
      </c>
      <c r="E32" s="5" t="n">
        <v>1188</v>
      </c>
      <c r="F32" s="5" t="n">
        <v>25.68882352941176</v>
      </c>
      <c r="G32" s="5" t="n">
        <v>25.3658244412978</v>
      </c>
      <c r="J32" s="5" t="n">
        <v>50.7</v>
      </c>
      <c r="K32" s="5" t="n">
        <v>63.9</v>
      </c>
      <c r="L32" s="5" t="n">
        <v>56.4</v>
      </c>
      <c r="M32" s="5" t="n">
        <v>1.73</v>
      </c>
    </row>
    <row r="33">
      <c r="A33" s="3" t="n">
        <v>37469</v>
      </c>
      <c r="B33" s="4" t="inlineStr">
        <is>
          <t>2002m8</t>
        </is>
      </c>
      <c r="C33" s="5" t="n">
        <v>72.97621428571429</v>
      </c>
      <c r="D33" s="6" t="n">
        <v>14</v>
      </c>
      <c r="E33" s="5" t="n">
        <v>1201.9</v>
      </c>
      <c r="F33" s="5" t="n">
        <v>26.50235294117647</v>
      </c>
      <c r="G33" s="5" t="n">
        <v>26.4182858015684</v>
      </c>
      <c r="J33" s="5" t="n">
        <v>51.2</v>
      </c>
      <c r="K33" s="5" t="n">
        <v>65.09999999999999</v>
      </c>
      <c r="L33" s="5" t="n">
        <v>53</v>
      </c>
      <c r="M33" s="5" t="n">
        <v>1.74</v>
      </c>
    </row>
    <row r="34">
      <c r="A34" s="3" t="n">
        <v>37500</v>
      </c>
      <c r="B34" s="4" t="inlineStr">
        <is>
          <t>2002m9</t>
        </is>
      </c>
      <c r="C34" s="5" t="n">
        <v>63.13334999999999</v>
      </c>
      <c r="D34" s="6" t="n">
        <v>20</v>
      </c>
      <c r="E34" s="5" t="n">
        <v>1227.8</v>
      </c>
      <c r="F34" s="5" t="n">
        <v>28.32411764705882</v>
      </c>
      <c r="G34" s="5" t="n">
        <v>27.4751677445041</v>
      </c>
      <c r="J34" s="5" t="n">
        <v>50.3</v>
      </c>
      <c r="K34" s="5" t="n">
        <v>64.09999999999999</v>
      </c>
      <c r="L34" s="5" t="n">
        <v>58.8</v>
      </c>
      <c r="M34" s="5" t="n">
        <v>1.75</v>
      </c>
    </row>
    <row r="35">
      <c r="A35" s="3" t="n">
        <v>37530</v>
      </c>
      <c r="B35" s="4" t="inlineStr">
        <is>
          <t>2002m10</t>
        </is>
      </c>
      <c r="C35" s="5" t="n">
        <v>74.4912105263158</v>
      </c>
      <c r="D35" s="6" t="n">
        <v>19</v>
      </c>
      <c r="E35" s="5" t="n">
        <v>1221.6</v>
      </c>
      <c r="F35" s="5" t="n">
        <v>27.765</v>
      </c>
      <c r="G35" s="5" t="n">
        <v>26.5071874943005</v>
      </c>
      <c r="J35" s="5" t="n">
        <v>51.2</v>
      </c>
      <c r="K35" s="5" t="n">
        <v>64.2</v>
      </c>
      <c r="L35" s="5" t="n">
        <v>54.6</v>
      </c>
      <c r="M35" s="5" t="n">
        <v>1.75</v>
      </c>
    </row>
    <row r="36">
      <c r="A36" s="3" t="n">
        <v>37561</v>
      </c>
      <c r="B36" s="4" t="inlineStr">
        <is>
          <t>2002m11</t>
        </is>
      </c>
      <c r="C36" s="5" t="n">
        <v>71.25</v>
      </c>
      <c r="D36" s="6" t="n">
        <v>14</v>
      </c>
      <c r="E36" s="5" t="n">
        <v>1208.8</v>
      </c>
      <c r="F36" s="5" t="n">
        <v>24.648</v>
      </c>
      <c r="G36" s="5" t="n">
        <v>28.3944193846078</v>
      </c>
      <c r="J36" s="5" t="n">
        <v>51.9</v>
      </c>
      <c r="K36" s="5" t="n">
        <v>63.8</v>
      </c>
      <c r="L36" s="5" t="n">
        <v>59.1</v>
      </c>
      <c r="M36" s="5" t="n">
        <v>1.34</v>
      </c>
    </row>
    <row r="37">
      <c r="A37" s="3" t="n">
        <v>37591</v>
      </c>
      <c r="B37" s="4" t="inlineStr">
        <is>
          <t>2002m12</t>
        </is>
      </c>
      <c r="C37" s="5" t="n">
        <v>63.49126315789474</v>
      </c>
      <c r="D37" s="6" t="n">
        <v>19</v>
      </c>
      <c r="E37" s="5" t="n">
        <v>1186.2</v>
      </c>
      <c r="F37" s="5" t="n">
        <v>28.09111111111111</v>
      </c>
      <c r="G37" s="5" t="n">
        <v>26.3529714226588</v>
      </c>
      <c r="J37" s="5" t="n">
        <v>52.5</v>
      </c>
      <c r="K37" s="5" t="n">
        <v>62.4</v>
      </c>
      <c r="L37" s="5" t="n">
        <v>60.7</v>
      </c>
      <c r="M37" s="5" t="n">
        <v>1.24</v>
      </c>
    </row>
    <row r="38">
      <c r="A38" s="3" t="n">
        <v>37622</v>
      </c>
      <c r="B38" s="4" t="inlineStr">
        <is>
          <t>2003m1</t>
        </is>
      </c>
      <c r="C38" s="5" t="n">
        <v>75.81245</v>
      </c>
      <c r="D38" s="6" t="n">
        <v>20</v>
      </c>
      <c r="E38" s="5" t="n">
        <v>1170.1</v>
      </c>
      <c r="F38" s="5" t="n">
        <v>31.18363636363636</v>
      </c>
      <c r="G38" s="5" t="n">
        <v>29.461404547339</v>
      </c>
      <c r="H38" s="5" t="n">
        <v>35.84142857142857</v>
      </c>
      <c r="I38" s="5" t="n">
        <v>75.22</v>
      </c>
      <c r="J38" s="5" t="n">
        <v>51.3</v>
      </c>
      <c r="K38" s="5" t="n">
        <v>65.2</v>
      </c>
      <c r="L38" s="5" t="n">
        <v>49</v>
      </c>
      <c r="M38" s="5" t="n">
        <v>1.24</v>
      </c>
    </row>
    <row r="39">
      <c r="A39" s="3" t="n">
        <v>37653</v>
      </c>
      <c r="B39" s="4" t="inlineStr">
        <is>
          <t>2003m2</t>
        </is>
      </c>
      <c r="C39" s="5" t="n">
        <v>99.50431578947368</v>
      </c>
      <c r="D39" s="6" t="n">
        <v>19</v>
      </c>
      <c r="E39" s="5" t="n">
        <v>1193.7</v>
      </c>
      <c r="F39" s="5" t="n">
        <v>32.64</v>
      </c>
      <c r="G39" s="5" t="n">
        <v>29.6119110142787</v>
      </c>
      <c r="H39" s="5" t="n">
        <v>36.555</v>
      </c>
      <c r="I39" s="5" t="n">
        <v>72.84999999999999</v>
      </c>
      <c r="J39" s="5" t="n">
        <v>51.5</v>
      </c>
      <c r="K39" s="5" t="n">
        <v>60.2</v>
      </c>
      <c r="L39" s="5" t="n">
        <v>58.5</v>
      </c>
      <c r="M39" s="5" t="n">
        <v>1.26</v>
      </c>
    </row>
    <row r="40">
      <c r="A40" s="3" t="n">
        <v>37681</v>
      </c>
      <c r="B40" s="4" t="inlineStr">
        <is>
          <t>2003m3</t>
        </is>
      </c>
      <c r="C40" s="5" t="n">
        <v>155.1964285714286</v>
      </c>
      <c r="D40" s="6" t="n">
        <v>21</v>
      </c>
      <c r="E40" s="5" t="n">
        <v>1254.6</v>
      </c>
      <c r="F40" s="5" t="n">
        <v>30.7405</v>
      </c>
      <c r="G40" s="5" t="n">
        <v>30.041503913876</v>
      </c>
      <c r="H40" s="5" t="n">
        <v>39.46619047619048</v>
      </c>
      <c r="I40" s="5" t="n">
        <v>68.05</v>
      </c>
      <c r="J40" s="5" t="n">
        <v>52.6</v>
      </c>
      <c r="K40" s="5" t="n">
        <v>60.5</v>
      </c>
      <c r="L40" s="5" t="n">
        <v>57.2</v>
      </c>
      <c r="M40" s="5" t="n">
        <v>1.25</v>
      </c>
    </row>
    <row r="41">
      <c r="A41" s="3" t="n">
        <v>37712</v>
      </c>
      <c r="B41" s="4" t="inlineStr">
        <is>
          <t>2003m4</t>
        </is>
      </c>
      <c r="C41" s="5" t="n">
        <v>124.21875</v>
      </c>
      <c r="D41" s="6" t="n">
        <v>20</v>
      </c>
      <c r="E41" s="5" t="n">
        <v>1215.3</v>
      </c>
      <c r="F41" s="5" t="n">
        <v>25.28588235294118</v>
      </c>
      <c r="G41" s="5" t="n">
        <v>29.7287472478925</v>
      </c>
      <c r="H41" s="5" t="n">
        <v>35.95909090909091</v>
      </c>
      <c r="I41" s="5" t="n">
        <v>76.45</v>
      </c>
      <c r="J41" s="5" t="n">
        <v>51.7</v>
      </c>
      <c r="K41" s="5" t="n">
        <v>60.3</v>
      </c>
      <c r="L41" s="5" t="n">
        <v>54.2</v>
      </c>
      <c r="M41" s="5" t="n">
        <v>1.26</v>
      </c>
    </row>
    <row r="42">
      <c r="A42" s="3" t="n">
        <v>37742</v>
      </c>
      <c r="B42" s="4" t="inlineStr">
        <is>
          <t>2003m5</t>
        </is>
      </c>
      <c r="C42" s="5" t="n">
        <v>96.03404545454545</v>
      </c>
      <c r="D42" s="6" t="n">
        <v>22</v>
      </c>
      <c r="E42" s="5" t="n">
        <v>1205.9</v>
      </c>
      <c r="F42" s="5" t="n">
        <v>26.04894736842105</v>
      </c>
      <c r="G42" s="5" t="n">
        <v>31.2763909523747</v>
      </c>
      <c r="H42" s="5" t="n">
        <v>34.05578947368421</v>
      </c>
      <c r="I42" s="5" t="n">
        <v>80.53</v>
      </c>
      <c r="J42" s="5" t="n">
        <v>51.5</v>
      </c>
      <c r="K42" s="5" t="n">
        <v>61.5</v>
      </c>
      <c r="L42" s="5" t="n">
        <v>52.3</v>
      </c>
      <c r="M42" s="5" t="n">
        <v>1.26</v>
      </c>
    </row>
    <row r="43">
      <c r="A43" s="3" t="n">
        <v>37773</v>
      </c>
      <c r="B43" s="4" t="inlineStr">
        <is>
          <t>2003m6</t>
        </is>
      </c>
      <c r="C43" s="5" t="n">
        <v>87.68847619047619</v>
      </c>
      <c r="D43" s="6" t="n">
        <v>21</v>
      </c>
      <c r="E43" s="5" t="n">
        <v>1193</v>
      </c>
      <c r="F43" s="5" t="n">
        <v>27.56466666666666</v>
      </c>
      <c r="G43" s="5" t="n">
        <v>30.6820682037139</v>
      </c>
      <c r="H43" s="5" t="n">
        <v>30.306</v>
      </c>
      <c r="I43" s="5" t="n">
        <v>85.47</v>
      </c>
      <c r="J43" s="5" t="n">
        <v>53</v>
      </c>
      <c r="K43" s="5" t="n">
        <v>61</v>
      </c>
      <c r="L43" s="5" t="n">
        <v>54.9</v>
      </c>
      <c r="M43" s="5" t="n">
        <v>1.22</v>
      </c>
    </row>
    <row r="44">
      <c r="A44" s="3" t="n">
        <v>37803</v>
      </c>
      <c r="B44" s="4" t="inlineStr">
        <is>
          <t>2003m7</t>
        </is>
      </c>
      <c r="C44" s="5" t="n">
        <v>89.1376956521739</v>
      </c>
      <c r="D44" s="6" t="n">
        <v>23</v>
      </c>
      <c r="E44" s="5" t="n">
        <v>1179.7</v>
      </c>
      <c r="F44" s="5" t="n">
        <v>28.238</v>
      </c>
      <c r="G44" s="5" t="n">
        <v>31.9224878417215</v>
      </c>
      <c r="H44" s="5" t="n">
        <v>24.86863636363637</v>
      </c>
      <c r="I44" s="5" t="n">
        <v>91.52</v>
      </c>
      <c r="J44" s="5" t="n">
        <v>50.6</v>
      </c>
      <c r="K44" s="5" t="n">
        <v>61.8</v>
      </c>
      <c r="L44" s="5" t="n">
        <v>51.4</v>
      </c>
      <c r="M44" s="5" t="n">
        <v>1.01</v>
      </c>
    </row>
    <row r="45">
      <c r="A45" s="3" t="n">
        <v>37834</v>
      </c>
      <c r="B45" s="4" t="inlineStr">
        <is>
          <t>2003m8</t>
        </is>
      </c>
      <c r="C45" s="5" t="n">
        <v>79.00842857142857</v>
      </c>
      <c r="D45" s="6" t="n">
        <v>21</v>
      </c>
      <c r="E45" s="5" t="n">
        <v>1178.2</v>
      </c>
      <c r="F45" s="5" t="n">
        <v>29.876</v>
      </c>
      <c r="G45" s="5" t="n">
        <v>32.8467095584977</v>
      </c>
      <c r="H45" s="5" t="n">
        <v>23.559</v>
      </c>
      <c r="I45" s="5" t="n">
        <v>97.59</v>
      </c>
      <c r="J45" s="5" t="n">
        <v>53.2</v>
      </c>
      <c r="K45" s="5" t="n">
        <v>62</v>
      </c>
      <c r="L45" s="5" t="n">
        <v>52.3</v>
      </c>
      <c r="M45" s="5" t="n">
        <v>1.03</v>
      </c>
    </row>
    <row r="46">
      <c r="A46" s="3" t="n">
        <v>37865</v>
      </c>
      <c r="B46" s="4" t="inlineStr">
        <is>
          <t>2003m9</t>
        </is>
      </c>
      <c r="C46" s="5" t="n">
        <v>71.79163636363636</v>
      </c>
      <c r="D46" s="6" t="n">
        <v>22</v>
      </c>
      <c r="E46" s="5" t="n">
        <v>1150.1</v>
      </c>
      <c r="F46" s="5" t="n">
        <v>27.28470588235294</v>
      </c>
      <c r="G46" s="5" t="n">
        <v>35.2203320673426</v>
      </c>
      <c r="H46" s="5" t="n">
        <v>22.46684210526316</v>
      </c>
      <c r="I46" s="5" t="n">
        <v>89.55</v>
      </c>
      <c r="J46" s="5" t="n">
        <v>53.9</v>
      </c>
      <c r="K46" s="5" t="n">
        <v>62.2</v>
      </c>
      <c r="L46" s="5" t="n">
        <v>55.7</v>
      </c>
      <c r="M46" s="5" t="n">
        <v>1.01</v>
      </c>
    </row>
    <row r="47">
      <c r="A47" s="3" t="n">
        <v>37895</v>
      </c>
      <c r="B47" s="4" t="inlineStr">
        <is>
          <t>2003m10</t>
        </is>
      </c>
      <c r="C47" s="5" t="n">
        <v>68.51665217391304</v>
      </c>
      <c r="D47" s="6" t="n">
        <v>23</v>
      </c>
      <c r="E47" s="5" t="n">
        <v>1183.1</v>
      </c>
      <c r="F47" s="5" t="n">
        <v>29.6155</v>
      </c>
      <c r="G47" s="5" t="n">
        <v>33.9204223549339</v>
      </c>
      <c r="H47" s="5" t="n">
        <v>25.77454545454545</v>
      </c>
      <c r="I47" s="5" t="n">
        <v>101.44</v>
      </c>
      <c r="J47" s="5" t="n">
        <v>55.4</v>
      </c>
      <c r="K47" s="5" t="n">
        <v>62.4</v>
      </c>
      <c r="L47" s="5" t="n">
        <v>55.2</v>
      </c>
      <c r="M47" s="5" t="n">
        <v>1.01</v>
      </c>
    </row>
    <row r="48">
      <c r="A48" s="3" t="n">
        <v>37926</v>
      </c>
      <c r="B48" s="4" t="inlineStr">
        <is>
          <t>2003m11</t>
        </is>
      </c>
      <c r="C48" s="5" t="n">
        <v>67.0279</v>
      </c>
      <c r="D48" s="6" t="n">
        <v>20</v>
      </c>
      <c r="E48" s="5" t="n">
        <v>1202.1</v>
      </c>
      <c r="F48" s="5" t="n">
        <v>28.7775</v>
      </c>
      <c r="G48" s="5" t="n">
        <v>34.2636409023647</v>
      </c>
      <c r="H48" s="5" t="n">
        <v>27.655</v>
      </c>
      <c r="I48" s="5" t="n">
        <v>103.61</v>
      </c>
      <c r="J48" s="5" t="n">
        <v>55.5</v>
      </c>
      <c r="K48" s="5" t="n">
        <v>62.5</v>
      </c>
      <c r="L48" s="5" t="n">
        <v>53</v>
      </c>
      <c r="M48" s="5" t="n">
        <v>1</v>
      </c>
    </row>
    <row r="49">
      <c r="A49" s="3" t="n">
        <v>37956</v>
      </c>
      <c r="B49" s="4" t="inlineStr">
        <is>
          <t>2003m12</t>
        </is>
      </c>
      <c r="C49" s="5" t="n">
        <v>55.99013636363636</v>
      </c>
      <c r="D49" s="6" t="n">
        <v>22</v>
      </c>
      <c r="E49" s="5" t="n">
        <v>1192.6</v>
      </c>
      <c r="F49" s="5" t="n">
        <v>29.78842105263158</v>
      </c>
      <c r="G49" s="5" t="n">
        <v>35.2375461186333</v>
      </c>
      <c r="H49" s="5" t="n">
        <v>25.97238095238095</v>
      </c>
      <c r="I49" s="5" t="n">
        <v>105.21</v>
      </c>
      <c r="J49" s="5" t="n">
        <v>56.5</v>
      </c>
      <c r="K49" s="5" t="n">
        <v>61.2</v>
      </c>
      <c r="L49" s="5" t="n">
        <v>54.5</v>
      </c>
      <c r="M49" s="5" t="n">
        <v>0.98</v>
      </c>
    </row>
    <row r="50">
      <c r="A50" s="3" t="n">
        <v>37987</v>
      </c>
      <c r="B50" s="4" t="inlineStr">
        <is>
          <t>2004m1</t>
        </is>
      </c>
      <c r="C50" s="5" t="n">
        <v>52.02938095238095</v>
      </c>
      <c r="D50" s="6" t="n">
        <v>21</v>
      </c>
      <c r="E50" s="5" t="n">
        <v>1173.7</v>
      </c>
      <c r="F50" s="5" t="n">
        <v>31.406</v>
      </c>
      <c r="G50" s="5" t="n">
        <v>38.1493121629237</v>
      </c>
      <c r="H50" s="5" t="n">
        <v>20.83611111111111</v>
      </c>
      <c r="I50" s="5" t="n">
        <v>110.89</v>
      </c>
      <c r="J50" s="5" t="n">
        <v>56.3</v>
      </c>
      <c r="K50" s="5" t="n">
        <v>63.3</v>
      </c>
      <c r="L50" s="5" t="n">
        <v>51.3</v>
      </c>
      <c r="M50" s="5" t="n">
        <v>1</v>
      </c>
    </row>
    <row r="51">
      <c r="A51" s="3" t="n">
        <v>38018</v>
      </c>
      <c r="B51" s="4" t="inlineStr">
        <is>
          <t>2004m2</t>
        </is>
      </c>
      <c r="C51" s="5" t="n">
        <v>59.44485</v>
      </c>
      <c r="D51" s="6" t="n">
        <v>20</v>
      </c>
      <c r="E51" s="5" t="n">
        <v>1176.2</v>
      </c>
      <c r="F51" s="5" t="n">
        <v>31.07</v>
      </c>
      <c r="G51" s="5" t="n">
        <v>37.912591246671</v>
      </c>
      <c r="H51" s="5" t="n">
        <v>20.5675</v>
      </c>
      <c r="I51" s="5" t="n">
        <v>115.92</v>
      </c>
      <c r="J51" s="5" t="n">
        <v>59.1</v>
      </c>
      <c r="K51" s="5" t="n">
        <v>63</v>
      </c>
      <c r="L51" s="5" t="n">
        <v>58.4</v>
      </c>
      <c r="M51" s="5" t="n">
        <v>1.01</v>
      </c>
    </row>
    <row r="52">
      <c r="A52" s="3" t="n">
        <v>38047</v>
      </c>
      <c r="B52" s="4" t="inlineStr">
        <is>
          <t>2004m3</t>
        </is>
      </c>
      <c r="C52" s="5" t="n">
        <v>55.48960869565217</v>
      </c>
      <c r="D52" s="6" t="n">
        <v>23</v>
      </c>
      <c r="E52" s="5" t="n">
        <v>1146.6</v>
      </c>
      <c r="F52" s="5" t="n">
        <v>33.56619047619048</v>
      </c>
      <c r="G52" s="5" t="n">
        <v>36.8145075221593</v>
      </c>
      <c r="H52" s="5" t="n">
        <v>22.42636363636364</v>
      </c>
      <c r="I52" s="5" t="n">
        <v>115.98</v>
      </c>
      <c r="J52" s="5" t="n">
        <v>58.1</v>
      </c>
      <c r="K52" s="5" t="n">
        <v>61</v>
      </c>
      <c r="L52" s="5" t="n">
        <v>56.5</v>
      </c>
      <c r="M52" s="5" t="n">
        <v>1</v>
      </c>
    </row>
    <row r="53">
      <c r="A53" s="3" t="n">
        <v>38078</v>
      </c>
      <c r="B53" s="4" t="inlineStr">
        <is>
          <t>2004m4</t>
        </is>
      </c>
      <c r="C53" s="5" t="n">
        <v>55.409</v>
      </c>
      <c r="D53" s="6" t="n">
        <v>21</v>
      </c>
      <c r="E53" s="5" t="n">
        <v>1173.3</v>
      </c>
      <c r="F53" s="5" t="n">
        <v>33.43352941176471</v>
      </c>
      <c r="G53" s="5" t="n">
        <v>37.7677908174247</v>
      </c>
      <c r="H53" s="5" t="n">
        <v>22.349</v>
      </c>
      <c r="I53" s="5" t="n">
        <v>112.4</v>
      </c>
      <c r="J53" s="5" t="n">
        <v>58.7</v>
      </c>
      <c r="K53" s="5" t="n">
        <v>61.4</v>
      </c>
      <c r="L53" s="5" t="n">
        <v>55.7</v>
      </c>
      <c r="M53" s="5" t="n">
        <v>1</v>
      </c>
    </row>
    <row r="54">
      <c r="A54" s="3" t="n">
        <v>38108</v>
      </c>
      <c r="B54" s="4" t="inlineStr">
        <is>
          <t>2004m5</t>
        </is>
      </c>
      <c r="C54" s="5" t="n">
        <v>65.58490476190475</v>
      </c>
      <c r="D54" s="6" t="n">
        <v>21</v>
      </c>
      <c r="E54" s="5" t="n">
        <v>1160.1</v>
      </c>
      <c r="F54" s="5" t="n">
        <v>37.52210526315789</v>
      </c>
      <c r="G54" s="5" t="n">
        <v>38.6431820532495</v>
      </c>
      <c r="H54" s="5" t="n">
        <v>31.63210526315789</v>
      </c>
      <c r="I54" s="5" t="n">
        <v>104.14</v>
      </c>
      <c r="J54" s="5" t="n">
        <v>59.6</v>
      </c>
      <c r="K54" s="5" t="n">
        <v>61</v>
      </c>
      <c r="L54" s="5" t="n">
        <v>56.1</v>
      </c>
      <c r="M54" s="5" t="n">
        <v>1</v>
      </c>
    </row>
    <row r="55">
      <c r="A55" s="3" t="n">
        <v>38139</v>
      </c>
      <c r="B55" s="4" t="inlineStr">
        <is>
          <t>2004m6</t>
        </is>
      </c>
      <c r="C55" s="5" t="n">
        <v>58.49795454545454</v>
      </c>
      <c r="D55" s="6" t="n">
        <v>22</v>
      </c>
      <c r="E55" s="5" t="n">
        <v>1155.5</v>
      </c>
      <c r="F55" s="5" t="n">
        <v>35.20857142857143</v>
      </c>
      <c r="G55" s="5" t="n">
        <v>39.6474339300702</v>
      </c>
      <c r="H55" s="5" t="n">
        <v>35.04363636363637</v>
      </c>
      <c r="I55" s="5" t="n">
        <v>101.85</v>
      </c>
      <c r="J55" s="5" t="n">
        <v>57.9</v>
      </c>
      <c r="K55" s="5" t="n">
        <v>63.3</v>
      </c>
      <c r="L55" s="5" t="n">
        <v>56.7</v>
      </c>
      <c r="M55" s="5" t="n">
        <v>1.03</v>
      </c>
    </row>
    <row r="56">
      <c r="A56" s="3" t="n">
        <v>38169</v>
      </c>
      <c r="B56" s="4" t="inlineStr">
        <is>
          <t>2004m7</t>
        </is>
      </c>
      <c r="C56" s="5" t="n">
        <v>52.44563636363637</v>
      </c>
      <c r="D56" s="6" t="n">
        <v>22</v>
      </c>
      <c r="E56" s="5" t="n">
        <v>1170</v>
      </c>
      <c r="F56" s="5" t="n">
        <v>38.22136363636363</v>
      </c>
      <c r="G56" s="5" t="n">
        <v>39.3577522673333</v>
      </c>
      <c r="H56" s="5" t="n">
        <v>29.61954545454546</v>
      </c>
      <c r="I56" s="5" t="n">
        <v>95.27</v>
      </c>
      <c r="J56" s="5" t="n">
        <v>57.2</v>
      </c>
      <c r="K56" s="5" t="n">
        <v>62.5</v>
      </c>
      <c r="L56" s="5" t="n">
        <v>55.2</v>
      </c>
      <c r="M56" s="5" t="n">
        <v>1.26</v>
      </c>
    </row>
    <row r="57">
      <c r="A57" s="3" t="n">
        <v>38200</v>
      </c>
      <c r="B57" s="4" t="inlineStr">
        <is>
          <t>2004m8</t>
        </is>
      </c>
      <c r="C57" s="5" t="n">
        <v>45.10404545454546</v>
      </c>
      <c r="D57" s="6" t="n">
        <v>22</v>
      </c>
      <c r="E57" s="5" t="n">
        <v>1153</v>
      </c>
      <c r="F57" s="5" t="n">
        <v>42.8045</v>
      </c>
      <c r="G57" s="5" t="n">
        <v>38.8453871952399</v>
      </c>
      <c r="H57" s="5" t="n">
        <v>26.22954545454545</v>
      </c>
      <c r="I57" s="5" t="n">
        <v>102.89</v>
      </c>
      <c r="J57" s="5" t="n">
        <v>58.1</v>
      </c>
      <c r="K57" s="5" t="n">
        <v>61</v>
      </c>
      <c r="L57" s="5" t="n">
        <v>57.5</v>
      </c>
      <c r="M57" s="5" t="n">
        <v>1.43</v>
      </c>
    </row>
    <row r="58">
      <c r="A58" s="3" t="n">
        <v>38231</v>
      </c>
      <c r="B58" s="4" t="inlineStr">
        <is>
          <t>2004m9</t>
        </is>
      </c>
      <c r="C58" s="5" t="n">
        <v>37.309</v>
      </c>
      <c r="D58" s="6" t="n">
        <v>22</v>
      </c>
      <c r="E58" s="5" t="n">
        <v>1151.8</v>
      </c>
      <c r="F58" s="5" t="n">
        <v>43.72388888888889</v>
      </c>
      <c r="G58" s="5" t="n">
        <v>38.3448718432946</v>
      </c>
      <c r="H58" s="5" t="n">
        <v>22.44842105263158</v>
      </c>
      <c r="I58" s="5" t="n">
        <v>107.69</v>
      </c>
      <c r="J58" s="5" t="n">
        <v>58.7</v>
      </c>
      <c r="K58" s="5" t="n">
        <v>63.4</v>
      </c>
      <c r="L58" s="5" t="n">
        <v>58.1</v>
      </c>
      <c r="M58" s="5" t="n">
        <v>1.61</v>
      </c>
    </row>
    <row r="59">
      <c r="A59" s="3" t="n">
        <v>38261</v>
      </c>
      <c r="B59" s="4" t="inlineStr">
        <is>
          <t>2004m10</t>
        </is>
      </c>
      <c r="C59" s="5" t="n">
        <v>36.29957142857143</v>
      </c>
      <c r="D59" s="6" t="n">
        <v>21</v>
      </c>
      <c r="E59" s="5" t="n">
        <v>1119.6</v>
      </c>
      <c r="F59" s="5" t="n">
        <v>49.77666666666666</v>
      </c>
      <c r="G59" s="5" t="n">
        <v>40.0588661475371</v>
      </c>
      <c r="H59" s="5" t="n">
        <v>25.75666666666667</v>
      </c>
      <c r="I59" s="5" t="n">
        <v>107.99</v>
      </c>
      <c r="J59" s="5" t="n">
        <v>58.7</v>
      </c>
      <c r="K59" s="5" t="n">
        <v>61.5</v>
      </c>
      <c r="L59" s="5" t="n">
        <v>55.6</v>
      </c>
      <c r="M59" s="5" t="n">
        <v>1.76</v>
      </c>
    </row>
    <row r="60">
      <c r="A60" s="3" t="n">
        <v>38292</v>
      </c>
      <c r="B60" s="4" t="inlineStr">
        <is>
          <t>2004m11</t>
        </is>
      </c>
      <c r="C60" s="5" t="n">
        <v>27.43940909090909</v>
      </c>
      <c r="D60" s="6" t="n">
        <v>22</v>
      </c>
      <c r="E60" s="5" t="n">
        <v>1048.2</v>
      </c>
      <c r="F60" s="5" t="n">
        <v>43.11045454545454</v>
      </c>
      <c r="G60" s="5" t="n">
        <v>39.9544172005621</v>
      </c>
      <c r="H60" s="5" t="n">
        <v>25.23136363636364</v>
      </c>
      <c r="I60" s="5" t="n">
        <v>113.4</v>
      </c>
      <c r="J60" s="5" t="n">
        <v>59.8</v>
      </c>
      <c r="K60" s="5" t="n">
        <v>61.8</v>
      </c>
      <c r="L60" s="5" t="n">
        <v>55.2</v>
      </c>
      <c r="M60" s="5" t="n">
        <v>1.93</v>
      </c>
    </row>
    <row r="61">
      <c r="A61" s="3" t="n">
        <v>38322</v>
      </c>
      <c r="B61" s="4" t="inlineStr">
        <is>
          <t>2004m12</t>
        </is>
      </c>
      <c r="C61" s="5" t="n">
        <v>31.65713043478261</v>
      </c>
      <c r="D61" s="6" t="n">
        <v>23</v>
      </c>
      <c r="E61" s="5" t="n">
        <v>1035.1</v>
      </c>
      <c r="F61" s="5" t="n">
        <v>39.63272727272727</v>
      </c>
      <c r="G61" s="5" t="n">
        <v>39.5770795307728</v>
      </c>
      <c r="H61" s="5" t="n">
        <v>23.41863636363637</v>
      </c>
      <c r="I61" s="5" t="n">
        <v>115.25</v>
      </c>
      <c r="J61" s="5" t="n">
        <v>58.9</v>
      </c>
      <c r="K61" s="5" t="n">
        <v>62.6</v>
      </c>
      <c r="L61" s="5" t="n">
        <v>53.3</v>
      </c>
      <c r="M61" s="5" t="n">
        <v>2.16</v>
      </c>
    </row>
    <row r="62">
      <c r="A62" s="3" t="n">
        <v>38353</v>
      </c>
      <c r="B62" s="4" t="inlineStr">
        <is>
          <t>2005m1</t>
        </is>
      </c>
      <c r="C62" s="5" t="n">
        <v>32.725</v>
      </c>
      <c r="D62" s="6" t="n">
        <v>21</v>
      </c>
      <c r="E62" s="5" t="n">
        <v>1025.6</v>
      </c>
      <c r="F62" s="5" t="n">
        <v>44.39111111111111</v>
      </c>
      <c r="G62" s="5" t="n">
        <v>39.6634455375051</v>
      </c>
      <c r="H62" s="5" t="n">
        <v>20.19</v>
      </c>
      <c r="I62" s="5" t="n">
        <v>121.06</v>
      </c>
      <c r="J62" s="5" t="n">
        <v>61.3</v>
      </c>
      <c r="K62" s="5" t="n">
        <v>61.4</v>
      </c>
      <c r="L62" s="5" t="n">
        <v>58.7</v>
      </c>
      <c r="M62" s="5" t="n">
        <v>2.28</v>
      </c>
    </row>
    <row r="63">
      <c r="A63" s="3" t="n">
        <v>38384</v>
      </c>
      <c r="B63" s="4" t="inlineStr">
        <is>
          <t>2005m2</t>
        </is>
      </c>
      <c r="C63" s="5" t="n">
        <v>30.5121</v>
      </c>
      <c r="D63" s="6" t="n">
        <v>20</v>
      </c>
      <c r="E63" s="5" t="n">
        <v>1006</v>
      </c>
      <c r="F63" s="5" t="n">
        <v>45.6321052631579</v>
      </c>
      <c r="G63" s="5" t="n">
        <v>39.509131828423</v>
      </c>
      <c r="H63" s="5" t="n">
        <v>17.46941176470588</v>
      </c>
      <c r="I63" s="5" t="n">
        <v>130.85</v>
      </c>
      <c r="J63" s="5" t="n">
        <v>60.1</v>
      </c>
      <c r="K63" s="5" t="n">
        <v>62.2</v>
      </c>
      <c r="L63" s="5" t="n">
        <v>58</v>
      </c>
      <c r="M63" s="5" t="n">
        <v>2.5</v>
      </c>
    </row>
    <row r="64">
      <c r="A64" s="3" t="n">
        <v>38412</v>
      </c>
      <c r="B64" s="4" t="inlineStr">
        <is>
          <t>2005m3</t>
        </is>
      </c>
      <c r="C64" s="5" t="n">
        <v>33.97669565217391</v>
      </c>
      <c r="D64" s="6" t="n">
        <v>23</v>
      </c>
      <c r="E64" s="5" t="n">
        <v>1015.5</v>
      </c>
      <c r="F64" s="5" t="n">
        <v>53.45583333333334</v>
      </c>
      <c r="G64" s="5" t="n">
        <v>41.6233237539229</v>
      </c>
      <c r="H64" s="5" t="n">
        <v>20.08409090909091</v>
      </c>
      <c r="I64" s="5" t="n">
        <v>124.78</v>
      </c>
      <c r="J64" s="5" t="n">
        <v>62</v>
      </c>
      <c r="K64" s="5" t="n">
        <v>62.7</v>
      </c>
      <c r="L64" s="5" t="n">
        <v>56.1</v>
      </c>
      <c r="M64" s="5" t="n">
        <v>2.63</v>
      </c>
    </row>
    <row r="65">
      <c r="A65" s="3" t="n">
        <v>38443</v>
      </c>
      <c r="B65" s="4" t="inlineStr">
        <is>
          <t>2005m4</t>
        </is>
      </c>
      <c r="C65" s="5" t="n">
        <v>37.54604761904762</v>
      </c>
      <c r="D65" s="6" t="n">
        <v>21</v>
      </c>
      <c r="E65" s="5" t="n">
        <v>997.1</v>
      </c>
      <c r="F65" s="5" t="n">
        <v>52.34</v>
      </c>
      <c r="G65" s="5" t="n">
        <v>43.5854008557715</v>
      </c>
      <c r="H65" s="5" t="n">
        <v>20.7055</v>
      </c>
      <c r="I65" s="5" t="n">
        <v>117.58</v>
      </c>
      <c r="J65" s="5" t="n">
        <v>60.7</v>
      </c>
      <c r="K65" s="5" t="n">
        <v>63.3</v>
      </c>
      <c r="L65" s="5" t="n">
        <v>55.5</v>
      </c>
      <c r="M65" s="5" t="n">
        <v>2.79</v>
      </c>
    </row>
    <row r="66">
      <c r="A66" s="3" t="n">
        <v>38473</v>
      </c>
      <c r="B66" s="4" t="inlineStr">
        <is>
          <t>2005m5</t>
        </is>
      </c>
      <c r="C66" s="5" t="n">
        <v>39.66981818181818</v>
      </c>
      <c r="D66" s="6" t="n">
        <v>22</v>
      </c>
      <c r="E66" s="5" t="n">
        <v>1007.7</v>
      </c>
      <c r="F66" s="5" t="n">
        <v>48.47499999999999</v>
      </c>
      <c r="G66" s="5" t="n">
        <v>43.2008767988004</v>
      </c>
      <c r="H66" s="5" t="n">
        <v>19.49333333333333</v>
      </c>
      <c r="I66" s="5" t="n">
        <v>124.84</v>
      </c>
      <c r="J66" s="5" t="n">
        <v>60.4</v>
      </c>
      <c r="K66" s="5" t="n">
        <v>63.3</v>
      </c>
      <c r="L66" s="5" t="n">
        <v>57.6</v>
      </c>
      <c r="M66" s="5" t="n">
        <v>3</v>
      </c>
    </row>
    <row r="67">
      <c r="A67" s="3" t="n">
        <v>38504</v>
      </c>
      <c r="B67" s="4" t="inlineStr">
        <is>
          <t>2005m6</t>
        </is>
      </c>
      <c r="C67" s="5" t="n">
        <v>39.94690909090909</v>
      </c>
      <c r="D67" s="6" t="n">
        <v>22</v>
      </c>
      <c r="E67" s="5" t="n">
        <v>1025.4</v>
      </c>
      <c r="F67" s="5" t="n">
        <v>54.36900000000001</v>
      </c>
      <c r="G67" s="5" t="n">
        <v>44.6025250506313</v>
      </c>
      <c r="H67" s="5" t="n">
        <v>16.42571428571429</v>
      </c>
      <c r="I67" s="5" t="n">
        <v>129.43</v>
      </c>
      <c r="J67" s="5" t="n">
        <v>60.6</v>
      </c>
      <c r="K67" s="5" t="n">
        <v>63.6</v>
      </c>
      <c r="L67" s="5" t="n">
        <v>60.4</v>
      </c>
      <c r="M67" s="5" t="n">
        <v>3.04</v>
      </c>
    </row>
    <row r="68">
      <c r="A68" s="3" t="n">
        <v>38534</v>
      </c>
      <c r="B68" s="4" t="inlineStr">
        <is>
          <t>2005m7</t>
        </is>
      </c>
      <c r="C68" s="5" t="n">
        <v>36.71871428571428</v>
      </c>
      <c r="D68" s="6" t="n">
        <v>21</v>
      </c>
      <c r="E68" s="5" t="n">
        <v>1026.8</v>
      </c>
      <c r="F68" s="5" t="n">
        <v>57.4485</v>
      </c>
      <c r="G68" s="5" t="n">
        <v>45.3561552900261</v>
      </c>
      <c r="H68" s="5" t="n">
        <v>17.05333333333333</v>
      </c>
      <c r="I68" s="5" t="n">
        <v>143.32</v>
      </c>
      <c r="J68" s="5" t="n">
        <v>61.1</v>
      </c>
      <c r="K68" s="5" t="n">
        <v>64.09999999999999</v>
      </c>
      <c r="L68" s="5" t="n">
        <v>62.2</v>
      </c>
      <c r="M68" s="5" t="n">
        <v>3.26</v>
      </c>
    </row>
    <row r="69">
      <c r="A69" s="3" t="n">
        <v>38565</v>
      </c>
      <c r="B69" s="4" t="inlineStr">
        <is>
          <t>2005m8</t>
        </is>
      </c>
      <c r="C69" s="5" t="n">
        <v>36.03034782608695</v>
      </c>
      <c r="D69" s="6" t="n">
        <v>23</v>
      </c>
      <c r="E69" s="5" t="n">
        <v>1038.5</v>
      </c>
      <c r="F69" s="5" t="n">
        <v>63.98347826086956</v>
      </c>
      <c r="G69" s="5" t="n">
        <v>48.0147058953395</v>
      </c>
      <c r="H69" s="5" t="n">
        <v>18.99727272727273</v>
      </c>
      <c r="I69" s="5" t="n">
        <v>140.09</v>
      </c>
      <c r="J69" s="5" t="n">
        <v>61.5</v>
      </c>
      <c r="K69" s="5" t="n">
        <v>64.3</v>
      </c>
      <c r="L69" s="5" t="n">
        <v>57.9</v>
      </c>
      <c r="M69" s="5" t="n">
        <v>3.5</v>
      </c>
    </row>
    <row r="70">
      <c r="A70" s="3" t="n">
        <v>38596</v>
      </c>
      <c r="B70" s="4" t="inlineStr">
        <is>
          <t>2005m9</t>
        </is>
      </c>
      <c r="C70" s="5" t="n">
        <v>34.33772727272727</v>
      </c>
      <c r="D70" s="6" t="n">
        <v>22</v>
      </c>
      <c r="E70" s="5" t="n">
        <v>1041.1</v>
      </c>
      <c r="F70" s="5" t="n">
        <v>63.0665</v>
      </c>
      <c r="G70" s="5" t="n">
        <v>44.1564439545832</v>
      </c>
      <c r="H70" s="5" t="n">
        <v>21.54476190476191</v>
      </c>
      <c r="I70" s="5" t="n">
        <v>157.55</v>
      </c>
      <c r="J70" s="5" t="n">
        <v>61.9</v>
      </c>
      <c r="K70" s="5" t="n">
        <v>64.5</v>
      </c>
      <c r="L70" s="5" t="n">
        <v>56.6</v>
      </c>
      <c r="M70" s="5" t="n">
        <v>3.62</v>
      </c>
    </row>
    <row r="71">
      <c r="A71" s="3" t="n">
        <v>38626</v>
      </c>
      <c r="B71" s="4" t="inlineStr">
        <is>
          <t>2005m10</t>
        </is>
      </c>
      <c r="C71" s="5" t="n">
        <v>30.39780952380952</v>
      </c>
      <c r="D71" s="6" t="n">
        <v>21</v>
      </c>
      <c r="E71" s="5" t="n">
        <v>1040.2</v>
      </c>
      <c r="F71" s="5" t="n">
        <v>58.523</v>
      </c>
      <c r="G71" s="5" t="n">
        <v>48.8244821136827</v>
      </c>
      <c r="H71" s="5" t="n">
        <v>25.265</v>
      </c>
      <c r="I71" s="5" t="n">
        <v>148.84</v>
      </c>
      <c r="J71" s="5" t="n">
        <v>63.6</v>
      </c>
      <c r="K71" s="5" t="n">
        <v>64.59999999999999</v>
      </c>
      <c r="L71" s="5" t="n">
        <v>60</v>
      </c>
      <c r="M71" s="5" t="n">
        <v>3.78</v>
      </c>
    </row>
    <row r="72">
      <c r="A72" s="3" t="n">
        <v>38657</v>
      </c>
      <c r="B72" s="4" t="inlineStr">
        <is>
          <t>2005m11</t>
        </is>
      </c>
      <c r="C72" s="5" t="n">
        <v>26.52095454545455</v>
      </c>
      <c r="D72" s="6" t="n">
        <v>22</v>
      </c>
      <c r="E72" s="5" t="n">
        <v>1033.5</v>
      </c>
      <c r="F72" s="5" t="n">
        <v>55.18149999999999</v>
      </c>
      <c r="G72" s="5" t="n">
        <v>47.8047187719362</v>
      </c>
      <c r="H72" s="5" t="n">
        <v>22.97954545454546</v>
      </c>
      <c r="I72" s="5" t="n">
        <v>165.95</v>
      </c>
      <c r="J72" s="5" t="n">
        <v>66.09999999999999</v>
      </c>
      <c r="K72" s="5" t="n">
        <v>66.09999999999999</v>
      </c>
      <c r="L72" s="5" t="n">
        <v>61.5</v>
      </c>
      <c r="M72" s="5" t="n">
        <v>4</v>
      </c>
    </row>
    <row r="73">
      <c r="A73" s="3" t="n">
        <v>38687</v>
      </c>
      <c r="B73" s="4" t="inlineStr">
        <is>
          <t>2005m12</t>
        </is>
      </c>
      <c r="C73" s="5" t="n">
        <v>24.43627272727273</v>
      </c>
      <c r="D73" s="6" t="n">
        <v>22</v>
      </c>
      <c r="E73" s="5" t="n">
        <v>1011.6</v>
      </c>
      <c r="F73" s="5" t="n">
        <v>56.85571428571428</v>
      </c>
      <c r="G73" s="5" t="n">
        <v>46.4336978326564</v>
      </c>
      <c r="H73" s="5" t="n">
        <v>19.87333333333333</v>
      </c>
      <c r="I73" s="5" t="n">
        <v>177.43</v>
      </c>
      <c r="J73" s="5" t="n">
        <v>64.7</v>
      </c>
      <c r="K73" s="5" t="n">
        <v>68.09999999999999</v>
      </c>
      <c r="L73" s="5" t="n">
        <v>62.4</v>
      </c>
      <c r="M73" s="5" t="n">
        <v>4.16</v>
      </c>
    </row>
    <row r="74">
      <c r="A74" s="3" t="n">
        <v>38718</v>
      </c>
      <c r="B74" s="4" t="inlineStr">
        <is>
          <t>2006m1</t>
        </is>
      </c>
      <c r="C74" s="5" t="n">
        <v>23.58509090909091</v>
      </c>
      <c r="D74" s="6" t="n">
        <v>22</v>
      </c>
      <c r="E74" s="5" t="n">
        <v>964.6</v>
      </c>
      <c r="F74" s="5" t="n">
        <v>63.14555555555555</v>
      </c>
      <c r="G74" s="5" t="n">
        <v>48.5599379212085</v>
      </c>
      <c r="H74" s="5" t="n">
        <v>21.08714285714286</v>
      </c>
      <c r="I74" s="5" t="n">
        <v>180.65</v>
      </c>
      <c r="J74" s="5" t="n">
        <v>66.5</v>
      </c>
      <c r="K74" s="5" t="n">
        <v>66</v>
      </c>
      <c r="L74" s="5" t="n">
        <v>63.4</v>
      </c>
      <c r="M74" s="5" t="n">
        <v>4.29</v>
      </c>
    </row>
    <row r="75">
      <c r="A75" s="3" t="n">
        <v>38749</v>
      </c>
      <c r="B75" s="4" t="inlineStr">
        <is>
          <t>2006m2</t>
        </is>
      </c>
      <c r="C75" s="5" t="n">
        <v>22.7376</v>
      </c>
      <c r="D75" s="6" t="n">
        <v>20</v>
      </c>
      <c r="E75" s="5" t="n">
        <v>970.9</v>
      </c>
      <c r="F75" s="5" t="n">
        <v>60.08736842105264</v>
      </c>
      <c r="G75" s="5" t="n">
        <v>48.4286552756768</v>
      </c>
      <c r="H75" s="5" t="n">
        <v>22.896</v>
      </c>
      <c r="I75" s="5" t="n">
        <v>177.45</v>
      </c>
      <c r="J75" s="5" t="n">
        <v>67.3</v>
      </c>
      <c r="K75" s="5" t="n">
        <v>66</v>
      </c>
      <c r="L75" s="5" t="n">
        <v>63.4</v>
      </c>
      <c r="M75" s="5" t="n">
        <v>4.49</v>
      </c>
    </row>
    <row r="76">
      <c r="A76" s="3" t="n">
        <v>38777</v>
      </c>
      <c r="B76" s="4" t="inlineStr">
        <is>
          <t>2006m3</t>
        </is>
      </c>
      <c r="C76" s="5" t="n">
        <v>23.3341304347826</v>
      </c>
      <c r="D76" s="6" t="n">
        <v>23</v>
      </c>
      <c r="E76" s="5" t="n">
        <v>971.6</v>
      </c>
      <c r="F76" s="5" t="n">
        <v>61.32333333333333</v>
      </c>
      <c r="G76" s="5" t="n">
        <v>49.3659018489547</v>
      </c>
      <c r="H76" s="5" t="n">
        <v>20.57136363636364</v>
      </c>
      <c r="I76" s="5" t="n">
        <v>176.21</v>
      </c>
      <c r="J76" s="5" t="n">
        <v>67.40000000000001</v>
      </c>
      <c r="K76" s="5" t="n">
        <v>67</v>
      </c>
      <c r="L76" s="5" t="n">
        <v>65.8</v>
      </c>
      <c r="M76" s="5" t="n">
        <v>4.59</v>
      </c>
    </row>
    <row r="77">
      <c r="A77" s="3" t="n">
        <v>38808</v>
      </c>
      <c r="B77" s="4" t="inlineStr">
        <is>
          <t>2006m4</t>
        </is>
      </c>
      <c r="C77" s="5" t="n">
        <v>23.52515</v>
      </c>
      <c r="D77" s="6" t="n">
        <v>20</v>
      </c>
      <c r="E77" s="5" t="n">
        <v>943.4</v>
      </c>
      <c r="F77" s="5" t="n">
        <v>71.39846153846153</v>
      </c>
      <c r="G77" s="5" t="n">
        <v>50.3097345684709</v>
      </c>
      <c r="H77" s="5" t="n">
        <v>18.6995</v>
      </c>
      <c r="I77" s="5" t="n">
        <v>184.1</v>
      </c>
      <c r="J77" s="5" t="n">
        <v>66.59999999999999</v>
      </c>
      <c r="K77" s="5" t="n">
        <v>67.3</v>
      </c>
      <c r="L77" s="5" t="n">
        <v>66.5</v>
      </c>
      <c r="M77" s="5" t="n">
        <v>4.79</v>
      </c>
    </row>
    <row r="78">
      <c r="A78" s="3" t="n">
        <v>38838</v>
      </c>
      <c r="B78" s="4" t="inlineStr">
        <is>
          <t>2006m5</t>
        </is>
      </c>
      <c r="C78" s="5" t="n">
        <v>23.26813043478261</v>
      </c>
      <c r="D78" s="6" t="n">
        <v>23</v>
      </c>
      <c r="E78" s="5" t="n">
        <v>945.6</v>
      </c>
      <c r="F78" s="5" t="n">
        <v>69.5385</v>
      </c>
      <c r="G78" s="5" t="n">
        <v>48.6677614865543</v>
      </c>
      <c r="H78" s="5" t="n">
        <v>21.42</v>
      </c>
      <c r="I78" s="5" t="n">
        <v>171.01</v>
      </c>
      <c r="J78" s="5" t="n">
        <v>67.40000000000001</v>
      </c>
      <c r="K78" s="5" t="n">
        <v>67.5</v>
      </c>
      <c r="L78" s="5" t="n">
        <v>68.59999999999999</v>
      </c>
      <c r="M78" s="5" t="n">
        <v>4.94</v>
      </c>
    </row>
    <row r="79">
      <c r="A79" s="3" t="n">
        <v>38869</v>
      </c>
      <c r="B79" s="4" t="inlineStr">
        <is>
          <t>2006m6</t>
        </is>
      </c>
      <c r="C79" s="5" t="n">
        <v>25.08286363636364</v>
      </c>
      <c r="D79" s="6" t="n">
        <v>22</v>
      </c>
      <c r="E79" s="5" t="n">
        <v>948.9</v>
      </c>
      <c r="F79" s="5" t="n">
        <v>68.5559090909091</v>
      </c>
      <c r="G79" s="5" t="n">
        <v>51.2228859211091</v>
      </c>
      <c r="H79" s="5" t="n">
        <v>26.02571428571428</v>
      </c>
      <c r="I79" s="5" t="n">
        <v>167.45</v>
      </c>
      <c r="J79" s="5" t="n">
        <v>66.2</v>
      </c>
      <c r="K79" s="5" t="n">
        <v>67.5</v>
      </c>
      <c r="L79" s="5" t="n">
        <v>63.4</v>
      </c>
      <c r="M79" s="5" t="n">
        <v>4.99</v>
      </c>
    </row>
    <row r="80">
      <c r="A80" s="3" t="n">
        <v>38899</v>
      </c>
      <c r="B80" s="4" t="inlineStr">
        <is>
          <t>2006m7</t>
        </is>
      </c>
      <c r="C80" s="5" t="n">
        <v>25.70928571428571</v>
      </c>
      <c r="D80" s="6" t="n">
        <v>21</v>
      </c>
      <c r="E80" s="5" t="n">
        <v>955.2</v>
      </c>
      <c r="F80" s="5" t="n">
        <v>73.67428571428572</v>
      </c>
      <c r="G80" s="5" t="n">
        <v>50.4370988437553</v>
      </c>
      <c r="H80" s="5" t="n">
        <v>24.661</v>
      </c>
      <c r="I80" s="5" t="n">
        <v>168.51</v>
      </c>
      <c r="J80" s="5" t="n">
        <v>63</v>
      </c>
      <c r="K80" s="5" t="n">
        <v>64.7</v>
      </c>
      <c r="L80" s="5" t="n">
        <v>64.5</v>
      </c>
      <c r="M80" s="5" t="n">
        <v>5.24</v>
      </c>
    </row>
    <row r="81">
      <c r="A81" s="3" t="n">
        <v>38930</v>
      </c>
      <c r="B81" s="4" t="inlineStr">
        <is>
          <t>2006m8</t>
        </is>
      </c>
      <c r="C81" s="5" t="n">
        <v>23.98652173913044</v>
      </c>
      <c r="D81" s="6" t="n">
        <v>23</v>
      </c>
      <c r="E81" s="5" t="n">
        <v>961.5</v>
      </c>
      <c r="F81" s="5" t="n">
        <v>73.2304347826087</v>
      </c>
      <c r="G81" s="5" t="n">
        <v>52.4510268471731</v>
      </c>
      <c r="H81" s="5" t="n">
        <v>21.10181818181818</v>
      </c>
      <c r="I81" s="5" t="n">
        <v>175.44</v>
      </c>
      <c r="J81" s="5" t="n">
        <v>67.59999999999999</v>
      </c>
      <c r="K81" s="5" t="n">
        <v>66.59999999999999</v>
      </c>
      <c r="L81" s="5" t="n">
        <v>69.3</v>
      </c>
      <c r="M81" s="5" t="n">
        <v>5.25</v>
      </c>
    </row>
    <row r="82">
      <c r="A82" s="3" t="n">
        <v>38961</v>
      </c>
      <c r="B82" s="4" t="inlineStr">
        <is>
          <t>2006m9</t>
        </is>
      </c>
      <c r="C82" s="5" t="n">
        <v>23.63928571428572</v>
      </c>
      <c r="D82" s="6" t="n">
        <v>21</v>
      </c>
      <c r="E82" s="5" t="n">
        <v>946.2</v>
      </c>
      <c r="F82" s="5" t="n">
        <v>61.95857142857143</v>
      </c>
      <c r="G82" s="5" t="n">
        <v>52.0824621969097</v>
      </c>
      <c r="H82" s="5" t="n">
        <v>18.33</v>
      </c>
      <c r="I82" s="5" t="n">
        <v>178.05</v>
      </c>
      <c r="J82" s="5" t="n">
        <v>69.3</v>
      </c>
      <c r="K82" s="5" t="n">
        <v>66.90000000000001</v>
      </c>
      <c r="L82" s="5" t="n">
        <v>66.59999999999999</v>
      </c>
      <c r="M82" s="5" t="n">
        <v>5.25</v>
      </c>
    </row>
    <row r="83">
      <c r="A83" s="3" t="n">
        <v>38991</v>
      </c>
      <c r="B83" s="4" t="inlineStr">
        <is>
          <t>2006m10</t>
        </is>
      </c>
      <c r="C83" s="5" t="n">
        <v>26.426</v>
      </c>
      <c r="D83" s="6" t="n">
        <v>22</v>
      </c>
      <c r="E83" s="5" t="n">
        <v>942.3</v>
      </c>
      <c r="F83" s="5" t="n">
        <v>57.80818181818182</v>
      </c>
      <c r="G83" s="5" t="n">
        <v>51.2045198001485</v>
      </c>
      <c r="H83" s="5" t="n">
        <v>18.74578947368421</v>
      </c>
      <c r="I83" s="5" t="n">
        <v>176.84</v>
      </c>
      <c r="J83" s="5" t="n">
        <v>71.5</v>
      </c>
      <c r="K83" s="5" t="n">
        <v>68.2</v>
      </c>
      <c r="L83" s="5" t="n">
        <v>71.09999999999999</v>
      </c>
      <c r="M83" s="5" t="n">
        <v>5.25</v>
      </c>
    </row>
    <row r="84">
      <c r="A84" s="3" t="n">
        <v>39022</v>
      </c>
      <c r="B84" s="4" t="inlineStr">
        <is>
          <t>2006m11</t>
        </is>
      </c>
      <c r="C84" s="5" t="n">
        <v>23.59545454545455</v>
      </c>
      <c r="D84" s="6" t="n">
        <v>22</v>
      </c>
      <c r="E84" s="5" t="n">
        <v>929.5</v>
      </c>
      <c r="F84" s="5" t="n">
        <v>58.76136363636363</v>
      </c>
      <c r="G84" s="5" t="n">
        <v>51.5831057344427</v>
      </c>
      <c r="H84" s="5" t="n">
        <v>15.05318181818182</v>
      </c>
      <c r="I84" s="5" t="n">
        <v>184.96</v>
      </c>
      <c r="J84" s="5" t="n">
        <v>70.90000000000001</v>
      </c>
      <c r="K84" s="5" t="n">
        <v>68.09999999999999</v>
      </c>
      <c r="L84" s="5" t="n">
        <v>70.09999999999999</v>
      </c>
      <c r="M84" s="5" t="n">
        <v>5.25</v>
      </c>
    </row>
    <row r="85">
      <c r="A85" s="3" t="n">
        <v>39052</v>
      </c>
      <c r="B85" s="4" t="inlineStr">
        <is>
          <t>2006m12</t>
        </is>
      </c>
      <c r="C85" s="5" t="n">
        <v>18.41866666666667</v>
      </c>
      <c r="D85" s="6" t="n">
        <v>21</v>
      </c>
      <c r="E85" s="5" t="n">
        <v>929.8</v>
      </c>
      <c r="F85" s="5" t="n">
        <v>62.47210526315789</v>
      </c>
      <c r="G85" s="5" t="n">
        <v>49.654951595419</v>
      </c>
      <c r="H85" s="5" t="n">
        <v>15.90894736842105</v>
      </c>
      <c r="I85" s="5" t="n">
        <v>185.39</v>
      </c>
      <c r="J85" s="5" t="n">
        <v>68.3</v>
      </c>
      <c r="K85" s="5" t="n">
        <v>71.09999999999999</v>
      </c>
      <c r="L85" s="5" t="n">
        <v>70.09999999999999</v>
      </c>
      <c r="M85" s="5" t="n">
        <v>5.24</v>
      </c>
    </row>
    <row r="86">
      <c r="A86" s="3" t="n">
        <v>39083</v>
      </c>
      <c r="B86" s="4" t="inlineStr">
        <is>
          <t>2007m1</t>
        </is>
      </c>
      <c r="C86" s="5" t="n">
        <v>18.94617391304348</v>
      </c>
      <c r="D86" s="6" t="n">
        <v>23</v>
      </c>
      <c r="E86" s="5" t="n">
        <v>941</v>
      </c>
      <c r="F86" s="5" t="n">
        <v>53.68142857142857</v>
      </c>
      <c r="G86" s="5" t="n">
        <v>52.7144112680473</v>
      </c>
      <c r="H86" s="5" t="n">
        <v>17.33181818181818</v>
      </c>
      <c r="I86" s="5" t="n">
        <v>175.99</v>
      </c>
      <c r="J86" s="5" t="n">
        <v>69.40000000000001</v>
      </c>
      <c r="K86" s="5" t="n">
        <v>68.90000000000001</v>
      </c>
      <c r="L86" s="5" t="n">
        <v>71.5</v>
      </c>
      <c r="M86" s="5" t="n">
        <v>5.25</v>
      </c>
    </row>
    <row r="87">
      <c r="A87" s="3" t="n">
        <v>39114</v>
      </c>
      <c r="B87" s="4" t="inlineStr">
        <is>
          <t>2007m2</t>
        </is>
      </c>
      <c r="C87" s="5" t="n">
        <v>17.63085</v>
      </c>
      <c r="D87" s="6" t="n">
        <v>20</v>
      </c>
      <c r="E87" s="5" t="n">
        <v>941.8</v>
      </c>
      <c r="F87" s="5" t="n">
        <v>57.48058823529411</v>
      </c>
      <c r="G87" s="5" t="n">
        <v>52.3076613174185</v>
      </c>
      <c r="H87" s="5" t="n">
        <v>17.13368421052632</v>
      </c>
      <c r="I87" s="5" t="n">
        <v>183.2</v>
      </c>
      <c r="J87" s="5" t="n">
        <v>70</v>
      </c>
      <c r="K87" s="5" t="n">
        <v>71.2</v>
      </c>
      <c r="L87" s="5" t="n">
        <v>74</v>
      </c>
      <c r="M87" s="5" t="n">
        <v>5.26</v>
      </c>
    </row>
    <row r="88">
      <c r="A88" s="3" t="n">
        <v>39142</v>
      </c>
      <c r="B88" s="4" t="inlineStr">
        <is>
          <t>2007m3</t>
        </is>
      </c>
      <c r="C88" s="5" t="n">
        <v>17.97922727272727</v>
      </c>
      <c r="D88" s="6" t="n">
        <v>22</v>
      </c>
      <c r="E88" s="5" t="n">
        <v>940.9</v>
      </c>
      <c r="F88" s="5" t="n">
        <v>62.15857142857143</v>
      </c>
      <c r="G88" s="5" t="n">
        <v>52.9983045749153</v>
      </c>
      <c r="H88" s="5" t="n">
        <v>19.94714285714286</v>
      </c>
      <c r="I88" s="5" t="n">
        <v>187.6</v>
      </c>
      <c r="J88" s="5" t="n">
        <v>69.7</v>
      </c>
      <c r="K88" s="5" t="n">
        <v>70.90000000000001</v>
      </c>
      <c r="L88" s="5" t="n">
        <v>70.5</v>
      </c>
      <c r="M88" s="5" t="n">
        <v>5.26</v>
      </c>
    </row>
    <row r="89">
      <c r="A89" s="3" t="n">
        <v>39173</v>
      </c>
      <c r="B89" s="4" t="inlineStr">
        <is>
          <t>2007m4</t>
        </is>
      </c>
      <c r="C89" s="5" t="n">
        <v>16.16152380952381</v>
      </c>
      <c r="D89" s="6" t="n">
        <v>21</v>
      </c>
      <c r="E89" s="5" t="n">
        <v>930.8</v>
      </c>
      <c r="F89" s="5" t="n">
        <v>67.48578947368421</v>
      </c>
      <c r="G89" s="5" t="n">
        <v>54.5698792434003</v>
      </c>
      <c r="H89" s="5" t="n">
        <v>18.50428571428571</v>
      </c>
      <c r="I89" s="5" t="n">
        <v>198.55</v>
      </c>
      <c r="J89" s="5" t="n">
        <v>70.8</v>
      </c>
      <c r="K89" s="5" t="n">
        <v>70</v>
      </c>
      <c r="L89" s="5" t="n">
        <v>75.2</v>
      </c>
      <c r="M89" s="5" t="n">
        <v>5.25</v>
      </c>
    </row>
    <row r="90">
      <c r="A90" s="3" t="n">
        <v>39203</v>
      </c>
      <c r="B90" s="4" t="inlineStr">
        <is>
          <t>2007m5</t>
        </is>
      </c>
      <c r="C90" s="5" t="n">
        <v>15.031</v>
      </c>
      <c r="D90" s="6" t="n">
        <v>23</v>
      </c>
      <c r="E90" s="5" t="n">
        <v>927.7</v>
      </c>
      <c r="F90" s="5" t="n">
        <v>67.21227272727273</v>
      </c>
      <c r="G90" s="5" t="n">
        <v>51.6752627938661</v>
      </c>
      <c r="H90" s="5" t="n">
        <v>17.76571428571429</v>
      </c>
      <c r="I90" s="5" t="n">
        <v>216.45</v>
      </c>
      <c r="J90" s="5" t="n">
        <v>71.2</v>
      </c>
      <c r="K90" s="5" t="n">
        <v>71.2</v>
      </c>
      <c r="L90" s="5" t="n">
        <v>72.2</v>
      </c>
      <c r="M90" s="5" t="n">
        <v>5.25</v>
      </c>
    </row>
    <row r="91">
      <c r="A91" s="3" t="n">
        <v>39234</v>
      </c>
      <c r="B91" s="4" t="inlineStr">
        <is>
          <t>2007m6</t>
        </is>
      </c>
      <c r="C91" s="5" t="n">
        <v>15.73728571428571</v>
      </c>
      <c r="D91" s="6" t="n">
        <v>21</v>
      </c>
      <c r="E91" s="5" t="n">
        <v>923.8</v>
      </c>
      <c r="F91" s="5" t="n">
        <v>71.04571428571428</v>
      </c>
      <c r="G91" s="5" t="n">
        <v>53.9458608454763</v>
      </c>
      <c r="H91" s="5" t="n">
        <v>20.5865</v>
      </c>
      <c r="I91" s="5" t="n">
        <v>221.31</v>
      </c>
      <c r="J91" s="5" t="n">
        <v>70.5</v>
      </c>
      <c r="K91" s="5" t="n">
        <v>70.09999999999999</v>
      </c>
      <c r="L91" s="5" t="n">
        <v>69.7</v>
      </c>
      <c r="M91" s="5" t="n">
        <v>5.25</v>
      </c>
    </row>
    <row r="92">
      <c r="A92" s="3" t="n">
        <v>39264</v>
      </c>
      <c r="B92" s="4" t="inlineStr">
        <is>
          <t>2007m7</t>
        </is>
      </c>
      <c r="C92" s="5" t="n">
        <v>19.37831818181818</v>
      </c>
      <c r="D92" s="6" t="n">
        <v>22</v>
      </c>
      <c r="E92" s="5" t="n">
        <v>919.3</v>
      </c>
      <c r="F92" s="5" t="n">
        <v>76.92999999999999</v>
      </c>
      <c r="G92" s="5" t="n">
        <v>54.8590421063071</v>
      </c>
      <c r="H92" s="5" t="n">
        <v>23.60047619047619</v>
      </c>
      <c r="I92" s="5" t="n">
        <v>244.32</v>
      </c>
      <c r="J92" s="5" t="n">
        <v>71.40000000000001</v>
      </c>
      <c r="K92" s="5" t="n">
        <v>69.59999999999999</v>
      </c>
      <c r="L92" s="5" t="n">
        <v>68.5</v>
      </c>
      <c r="M92" s="5" t="n">
        <v>5.26</v>
      </c>
    </row>
    <row r="93">
      <c r="A93" s="3" t="n">
        <v>39295</v>
      </c>
      <c r="B93" s="4" t="inlineStr">
        <is>
          <t>2007m8</t>
        </is>
      </c>
      <c r="C93" s="5" t="n">
        <v>32.04252173913044</v>
      </c>
      <c r="D93" s="6" t="n">
        <v>23</v>
      </c>
      <c r="E93" s="5" t="n">
        <v>938.3</v>
      </c>
      <c r="F93" s="5" t="n">
        <v>70.76086956521739</v>
      </c>
      <c r="G93" s="5" t="n">
        <v>55.392310179681</v>
      </c>
      <c r="H93" s="5" t="n">
        <v>34.54227272727272</v>
      </c>
      <c r="I93" s="5" t="n">
        <v>238.28</v>
      </c>
      <c r="J93" s="5" t="n">
        <v>73.59999999999999</v>
      </c>
      <c r="K93" s="5" t="n">
        <v>70.40000000000001</v>
      </c>
      <c r="L93" s="5" t="n">
        <v>71.40000000000001</v>
      </c>
      <c r="M93" s="5" t="n">
        <v>5.02</v>
      </c>
    </row>
    <row r="94">
      <c r="A94" s="3" t="n">
        <v>39326</v>
      </c>
      <c r="B94" s="4" t="inlineStr">
        <is>
          <t>2007m9</t>
        </is>
      </c>
      <c r="C94" s="5" t="n">
        <v>29.55035</v>
      </c>
      <c r="D94" s="6" t="n">
        <v>20</v>
      </c>
      <c r="E94" s="5" t="n">
        <v>915.1</v>
      </c>
      <c r="F94" s="5" t="n">
        <v>77.17315789473685</v>
      </c>
      <c r="G94" s="5" t="n">
        <v>57.1559882526453</v>
      </c>
      <c r="H94" s="5" t="n">
        <v>31.31588235294118</v>
      </c>
      <c r="I94" s="5" t="n">
        <v>247.2</v>
      </c>
      <c r="J94" s="5" t="n">
        <v>73</v>
      </c>
      <c r="K94" s="5" t="n">
        <v>71.8</v>
      </c>
      <c r="L94" s="5" t="n">
        <v>66.2</v>
      </c>
      <c r="M94" s="5" t="n">
        <v>4.94</v>
      </c>
    </row>
    <row r="95">
      <c r="A95" s="3" t="n">
        <v>39356</v>
      </c>
      <c r="B95" s="4" t="inlineStr">
        <is>
          <t>2007m10</t>
        </is>
      </c>
      <c r="C95" s="5" t="n">
        <v>23.93378260869565</v>
      </c>
      <c r="D95" s="6" t="n">
        <v>23</v>
      </c>
      <c r="E95" s="5" t="n">
        <v>900.7</v>
      </c>
      <c r="F95" s="5" t="n">
        <v>82.34</v>
      </c>
      <c r="G95" s="5" t="n">
        <v>56.191544746259</v>
      </c>
      <c r="H95" s="5" t="n">
        <v>30.42909090909091</v>
      </c>
      <c r="I95" s="5" t="n">
        <v>260.42</v>
      </c>
      <c r="J95" s="5" t="n">
        <v>76.7</v>
      </c>
      <c r="K95" s="5" t="n">
        <v>71.59999999999999</v>
      </c>
      <c r="L95" s="5" t="n">
        <v>69</v>
      </c>
      <c r="M95" s="5" t="n">
        <v>4.76</v>
      </c>
    </row>
    <row r="96">
      <c r="A96" s="3" t="n">
        <v>39387</v>
      </c>
      <c r="B96" s="4" t="inlineStr">
        <is>
          <t>2007m11</t>
        </is>
      </c>
      <c r="C96" s="5" t="n">
        <v>39.89854545454546</v>
      </c>
      <c r="D96" s="6" t="n">
        <v>22</v>
      </c>
      <c r="E96" s="5" t="n">
        <v>921.1</v>
      </c>
      <c r="F96" s="5" t="n">
        <v>92.41428571428571</v>
      </c>
      <c r="G96" s="5" t="n">
        <v>54.9634114082661</v>
      </c>
      <c r="H96" s="5" t="n">
        <v>35.67545454545455</v>
      </c>
      <c r="I96" s="5" t="n">
        <v>241.91</v>
      </c>
      <c r="J96" s="5" t="n">
        <v>76.5</v>
      </c>
      <c r="K96" s="5" t="n">
        <v>71.7</v>
      </c>
      <c r="L96" s="5" t="n">
        <v>74.09999999999999</v>
      </c>
      <c r="M96" s="5" t="n">
        <v>4.49</v>
      </c>
    </row>
    <row r="97">
      <c r="A97" s="3" t="n">
        <v>39417</v>
      </c>
      <c r="B97" s="4" t="inlineStr">
        <is>
          <t>2007m12</t>
        </is>
      </c>
      <c r="C97" s="5" t="n">
        <v>44.00261111111111</v>
      </c>
      <c r="D97" s="6" t="n">
        <v>18</v>
      </c>
      <c r="E97" s="5" t="n">
        <v>936.1</v>
      </c>
      <c r="F97" s="5" t="n">
        <v>90.92684210526315</v>
      </c>
      <c r="G97" s="5" t="n">
        <v>54.3882358238747</v>
      </c>
      <c r="H97" s="5" t="n">
        <v>29.44722222222222</v>
      </c>
      <c r="I97" s="5" t="n">
        <v>241.27</v>
      </c>
      <c r="J97" s="5" t="n">
        <v>76</v>
      </c>
      <c r="K97" s="5" t="n">
        <v>72.40000000000001</v>
      </c>
      <c r="L97" s="5" t="n">
        <v>77.2</v>
      </c>
      <c r="M97" s="5" t="n">
        <v>4.24</v>
      </c>
    </row>
    <row r="98">
      <c r="A98" s="3" t="n">
        <v>39448</v>
      </c>
      <c r="B98" s="4" t="inlineStr">
        <is>
          <t>2008m1</t>
        </is>
      </c>
      <c r="C98" s="5" t="n">
        <v>65.81665217391304</v>
      </c>
      <c r="D98" s="6" t="n">
        <v>23</v>
      </c>
      <c r="E98" s="5" t="n">
        <v>943.9</v>
      </c>
      <c r="F98" s="5" t="n">
        <v>92.17809523809524</v>
      </c>
      <c r="G98" s="5" t="n">
        <v>54.3415861017956</v>
      </c>
      <c r="H98" s="5" t="n">
        <v>29.44727272727273</v>
      </c>
      <c r="I98" s="5" t="n">
        <v>207.77</v>
      </c>
      <c r="J98" s="5" t="n">
        <v>78</v>
      </c>
      <c r="K98" s="5" t="n">
        <v>72.90000000000001</v>
      </c>
      <c r="L98" s="5" t="n">
        <v>71.59999999999999</v>
      </c>
      <c r="M98" s="5" t="n">
        <v>3.94</v>
      </c>
    </row>
    <row r="99">
      <c r="A99" s="3" t="n">
        <v>39479</v>
      </c>
      <c r="B99" s="4" t="inlineStr">
        <is>
          <t>2008m2</t>
        </is>
      </c>
      <c r="C99" s="5" t="n">
        <v>81.81357142857144</v>
      </c>
      <c r="D99" s="6" t="n">
        <v>21</v>
      </c>
      <c r="E99" s="5" t="n">
        <v>939</v>
      </c>
      <c r="F99" s="5" t="n">
        <v>94.98650000000001</v>
      </c>
      <c r="G99" s="5" t="n">
        <v>51.7926662658035</v>
      </c>
      <c r="H99" s="5" t="n">
        <v>30.38444444444445</v>
      </c>
      <c r="I99" s="5" t="n">
        <v>216.85</v>
      </c>
      <c r="J99" s="5" t="n">
        <v>77.40000000000001</v>
      </c>
      <c r="K99" s="5" t="n">
        <v>72</v>
      </c>
      <c r="L99" s="5" t="n">
        <v>71.90000000000001</v>
      </c>
      <c r="M99" s="5" t="n">
        <v>2.98</v>
      </c>
    </row>
    <row r="100">
      <c r="A100" s="3" t="n">
        <v>39508</v>
      </c>
      <c r="B100" s="4" t="inlineStr">
        <is>
          <t>2008m3</t>
        </is>
      </c>
      <c r="C100" s="5" t="n">
        <v>101.6167619047619</v>
      </c>
      <c r="D100" s="6" t="n">
        <v>21</v>
      </c>
      <c r="E100" s="5" t="n">
        <v>990.4</v>
      </c>
      <c r="F100" s="5" t="n">
        <v>103.6355</v>
      </c>
      <c r="G100" s="5" t="n">
        <v>52.3447990638748</v>
      </c>
      <c r="H100" s="5" t="n">
        <v>30.74095238095238</v>
      </c>
      <c r="I100" s="5" t="n">
        <v>217.65</v>
      </c>
      <c r="J100" s="5" t="n">
        <v>78.40000000000001</v>
      </c>
      <c r="K100" s="5" t="n">
        <v>72.90000000000001</v>
      </c>
      <c r="L100" s="5" t="n">
        <v>71.90000000000001</v>
      </c>
      <c r="M100" s="5" t="n">
        <v>2.61</v>
      </c>
    </row>
    <row r="101">
      <c r="A101" s="3" t="n">
        <v>39539</v>
      </c>
      <c r="B101" s="4" t="inlineStr">
        <is>
          <t>2008m4</t>
        </is>
      </c>
      <c r="C101" s="5" t="n">
        <v>74.63122727272727</v>
      </c>
      <c r="D101" s="6" t="n">
        <v>22</v>
      </c>
      <c r="E101" s="5" t="n">
        <v>1002.6</v>
      </c>
      <c r="F101" s="5" t="n">
        <v>109.0713636363636</v>
      </c>
      <c r="G101" s="5" t="n">
        <v>51.4030706706685</v>
      </c>
      <c r="H101" s="5" t="n">
        <v>25.09476190476191</v>
      </c>
      <c r="I101" s="5" t="n">
        <v>235</v>
      </c>
      <c r="J101" s="5" t="n">
        <v>78.7</v>
      </c>
      <c r="K101" s="5" t="n">
        <v>73.2</v>
      </c>
      <c r="L101" s="5" t="n">
        <v>74.40000000000001</v>
      </c>
      <c r="M101" s="5" t="n">
        <v>2.28</v>
      </c>
    </row>
    <row r="102">
      <c r="A102" s="3" t="n">
        <v>39569</v>
      </c>
      <c r="B102" s="4" t="inlineStr">
        <is>
          <t>2008m5</t>
        </is>
      </c>
      <c r="C102" s="5" t="n">
        <v>64.887</v>
      </c>
      <c r="D102" s="6" t="n">
        <v>22</v>
      </c>
      <c r="E102" s="5" t="n">
        <v>1030.1</v>
      </c>
      <c r="F102" s="5" t="n">
        <v>122.7971428571428</v>
      </c>
      <c r="G102" s="5" t="n">
        <v>54.7273832277475</v>
      </c>
      <c r="H102" s="5" t="n">
        <v>22.27473684210526</v>
      </c>
      <c r="I102" s="5" t="n">
        <v>237.46</v>
      </c>
      <c r="J102" s="5" t="n">
        <v>77.7</v>
      </c>
      <c r="K102" s="5" t="n">
        <v>72.3</v>
      </c>
      <c r="L102" s="5" t="n">
        <v>72</v>
      </c>
      <c r="M102" s="5" t="n">
        <v>1.98</v>
      </c>
    </row>
    <row r="103">
      <c r="A103" s="3" t="n">
        <v>39600</v>
      </c>
      <c r="B103" s="4" t="inlineStr">
        <is>
          <t>2008m6</t>
        </is>
      </c>
      <c r="C103" s="5" t="n">
        <v>90.748</v>
      </c>
      <c r="D103" s="6" t="n">
        <v>21</v>
      </c>
      <c r="E103" s="5" t="n">
        <v>1046</v>
      </c>
      <c r="F103" s="5" t="n">
        <v>132.3223809523809</v>
      </c>
      <c r="G103" s="5" t="n">
        <v>53.6889611938168</v>
      </c>
      <c r="H103" s="5" t="n">
        <v>23.795</v>
      </c>
      <c r="I103" s="5" t="n">
        <v>213.52</v>
      </c>
      <c r="J103" s="5" t="n">
        <v>76.8</v>
      </c>
      <c r="K103" s="5" t="n">
        <v>69.59999999999999</v>
      </c>
      <c r="L103" s="5" t="n">
        <v>72.40000000000001</v>
      </c>
      <c r="M103" s="5" t="n">
        <v>2</v>
      </c>
    </row>
    <row r="104">
      <c r="A104" s="3" t="n">
        <v>39630</v>
      </c>
      <c r="B104" s="4" t="inlineStr">
        <is>
          <t>2008m7</t>
        </is>
      </c>
      <c r="C104" s="5" t="n">
        <v>107.6241304347826</v>
      </c>
      <c r="D104" s="6" t="n">
        <v>23</v>
      </c>
      <c r="E104" s="5" t="n">
        <v>1012.2</v>
      </c>
      <c r="F104" s="5" t="n">
        <v>132.7181818181818</v>
      </c>
      <c r="G104" s="5" t="n">
        <v>53.3299126320119</v>
      </c>
      <c r="H104" s="5" t="n">
        <v>25.72652173913044</v>
      </c>
      <c r="I104" s="5" t="n">
        <v>204.12</v>
      </c>
      <c r="J104" s="5" t="n">
        <v>76.2</v>
      </c>
      <c r="K104" s="5" t="n">
        <v>71.3</v>
      </c>
      <c r="L104" s="5" t="n">
        <v>72.90000000000001</v>
      </c>
      <c r="M104" s="5" t="n">
        <v>2.01</v>
      </c>
    </row>
    <row r="105">
      <c r="A105" s="3" t="n">
        <v>39661</v>
      </c>
      <c r="B105" s="4" t="inlineStr">
        <is>
          <t>2008m8</t>
        </is>
      </c>
      <c r="C105" s="5" t="n">
        <v>104.2225238095238</v>
      </c>
      <c r="D105" s="6" t="n">
        <v>21</v>
      </c>
      <c r="E105" s="5" t="n">
        <v>1089</v>
      </c>
      <c r="F105" s="5" t="n">
        <v>113.2433333333333</v>
      </c>
      <c r="G105" s="5" t="n">
        <v>52.1384985246726</v>
      </c>
      <c r="H105" s="5" t="n">
        <v>24.7715</v>
      </c>
      <c r="I105" s="5" t="n">
        <v>188.96</v>
      </c>
      <c r="J105" s="5" t="n">
        <v>76.40000000000001</v>
      </c>
      <c r="K105" s="5" t="n">
        <v>71.7</v>
      </c>
      <c r="L105" s="5" t="n">
        <v>73.40000000000001</v>
      </c>
      <c r="M105" s="5" t="n">
        <v>2</v>
      </c>
    </row>
    <row r="106">
      <c r="A106" s="3" t="n">
        <v>39692</v>
      </c>
      <c r="B106" s="4" t="inlineStr">
        <is>
          <t>2008m9</t>
        </is>
      </c>
      <c r="C106" s="5" t="n">
        <v>147.75</v>
      </c>
      <c r="D106" s="6" t="n">
        <v>22</v>
      </c>
      <c r="E106" s="5" t="n">
        <v>1207</v>
      </c>
      <c r="F106" s="5" t="n">
        <v>97.23476190476191</v>
      </c>
      <c r="G106" s="5" t="n">
        <v>51.1733457549751</v>
      </c>
      <c r="H106" s="5" t="n">
        <v>31.31904761904762</v>
      </c>
      <c r="I106" s="5" t="n">
        <v>186.62</v>
      </c>
      <c r="J106" s="5" t="n">
        <v>75.40000000000001</v>
      </c>
      <c r="K106" s="5" t="n">
        <v>70.2</v>
      </c>
      <c r="L106" s="5" t="n">
        <v>67.8</v>
      </c>
      <c r="M106" s="5" t="n">
        <v>1.81</v>
      </c>
    </row>
    <row r="107">
      <c r="A107" s="3" t="n">
        <v>39722</v>
      </c>
      <c r="B107" s="4" t="inlineStr">
        <is>
          <t>2008m10</t>
        </is>
      </c>
      <c r="C107" s="5" t="n">
        <v>386.1902608695652</v>
      </c>
      <c r="D107" s="6" t="n">
        <v>23</v>
      </c>
      <c r="E107" s="5" t="n">
        <v>1291</v>
      </c>
      <c r="F107" s="5" t="n">
        <v>71.58217391304348</v>
      </c>
      <c r="G107" s="5" t="n">
        <v>53.192785522519</v>
      </c>
      <c r="H107" s="5" t="n">
        <v>61.14318181818182</v>
      </c>
      <c r="I107" s="5" t="n">
        <v>147.5</v>
      </c>
      <c r="J107" s="5" t="n">
        <v>75.7</v>
      </c>
      <c r="K107" s="5" t="n">
        <v>69.2</v>
      </c>
      <c r="L107" s="5" t="n">
        <v>67.90000000000001</v>
      </c>
      <c r="M107" s="5" t="n">
        <v>0.97</v>
      </c>
    </row>
    <row r="108">
      <c r="A108" s="3" t="n">
        <v>39753</v>
      </c>
      <c r="B108" s="4" t="inlineStr">
        <is>
          <t>2008m11</t>
        </is>
      </c>
      <c r="C108" s="5" t="n">
        <v>350.2643</v>
      </c>
      <c r="D108" s="6" t="n">
        <v>20</v>
      </c>
      <c r="E108" s="5" t="n">
        <v>1469</v>
      </c>
      <c r="F108" s="5" t="n">
        <v>52.45263157894737</v>
      </c>
      <c r="G108" s="5" t="n">
        <v>42.401496773458</v>
      </c>
      <c r="H108" s="5" t="n">
        <v>70.2945</v>
      </c>
      <c r="I108" s="5" t="n">
        <v>140.66</v>
      </c>
      <c r="J108" s="5" t="n">
        <v>67.5</v>
      </c>
      <c r="K108" s="5" t="n">
        <v>68.5</v>
      </c>
      <c r="L108" s="5" t="n">
        <v>63.1</v>
      </c>
      <c r="M108" s="5" t="n">
        <v>0.39</v>
      </c>
    </row>
    <row r="109">
      <c r="A109" s="3" t="n">
        <v>39783</v>
      </c>
      <c r="B109" s="4" t="inlineStr">
        <is>
          <t>2008m12</t>
        </is>
      </c>
      <c r="C109" s="5" t="n">
        <v>365.8678695652173</v>
      </c>
      <c r="D109" s="6" t="n">
        <v>23</v>
      </c>
      <c r="E109" s="5" t="n">
        <v>1259.5</v>
      </c>
      <c r="F109" s="5" t="n">
        <v>39.94681818181818</v>
      </c>
      <c r="G109" s="5" t="n">
        <v>41.9370817347231</v>
      </c>
      <c r="H109" s="5" t="n">
        <v>56.31095238095238</v>
      </c>
      <c r="I109" s="5" t="n">
        <v>146.35</v>
      </c>
      <c r="J109" s="5" t="n">
        <v>60.1</v>
      </c>
      <c r="K109" s="5" t="n">
        <v>68.5</v>
      </c>
      <c r="L109" s="5" t="n">
        <v>60.2</v>
      </c>
      <c r="M109" s="5" t="n">
        <v>0.16</v>
      </c>
    </row>
    <row r="110">
      <c r="A110" s="3" t="n">
        <v>39814</v>
      </c>
      <c r="B110" s="4" t="inlineStr">
        <is>
          <t>2009m1</t>
        </is>
      </c>
      <c r="C110" s="5" t="n">
        <v>311.1212272727273</v>
      </c>
      <c r="D110" s="6" t="n">
        <v>22</v>
      </c>
      <c r="E110" s="5" t="n">
        <v>1379.5</v>
      </c>
      <c r="F110" s="5" t="n">
        <v>43.4395</v>
      </c>
      <c r="G110" s="5" t="n">
        <v>39.8133503437367</v>
      </c>
      <c r="H110" s="5" t="n">
        <v>47.76368421052631</v>
      </c>
      <c r="I110" s="5" t="n">
        <v>151.33</v>
      </c>
      <c r="J110" s="5" t="n">
        <v>61.1</v>
      </c>
      <c r="K110" s="5" t="n">
        <v>69.8</v>
      </c>
      <c r="L110" s="5" t="n">
        <v>52.7</v>
      </c>
      <c r="M110" s="5" t="n">
        <v>0.15</v>
      </c>
    </row>
    <row r="111">
      <c r="A111" s="3" t="n">
        <v>39845</v>
      </c>
      <c r="B111" s="4" t="inlineStr">
        <is>
          <t>2009m2</t>
        </is>
      </c>
      <c r="C111" s="5" t="n">
        <v>382.1924</v>
      </c>
      <c r="D111" s="6" t="n">
        <v>20</v>
      </c>
      <c r="E111" s="5" t="n">
        <v>1534</v>
      </c>
      <c r="F111" s="5" t="n">
        <v>43.32473684210526</v>
      </c>
      <c r="G111" s="5" t="n">
        <v>41.3457869083771</v>
      </c>
      <c r="H111" s="5" t="n">
        <v>47.6255</v>
      </c>
      <c r="I111" s="5" t="n">
        <v>138.07</v>
      </c>
      <c r="J111" s="5" t="n">
        <v>67</v>
      </c>
      <c r="K111" s="5" t="n">
        <v>71.59999999999999</v>
      </c>
      <c r="L111" s="5" t="n">
        <v>57.6</v>
      </c>
      <c r="M111" s="5" t="n">
        <v>0.22</v>
      </c>
    </row>
    <row r="112">
      <c r="A112" s="3" t="n">
        <v>39873</v>
      </c>
      <c r="B112" s="4" t="inlineStr">
        <is>
          <t>2009m3</t>
        </is>
      </c>
      <c r="C112" s="5" t="n">
        <v>401.6609090909091</v>
      </c>
      <c r="D112" s="6" t="n">
        <v>22</v>
      </c>
      <c r="E112" s="5" t="n">
        <v>1383.5</v>
      </c>
      <c r="F112" s="5" t="n">
        <v>46.54045454545454</v>
      </c>
      <c r="G112" s="5" t="n">
        <v>45.5124994211064</v>
      </c>
      <c r="H112" s="5" t="n">
        <v>41.29363636363637</v>
      </c>
      <c r="I112" s="5" t="n">
        <v>157.01</v>
      </c>
      <c r="J112" s="5" t="n">
        <v>69.3</v>
      </c>
      <c r="K112" s="5" t="n">
        <v>70.7</v>
      </c>
      <c r="L112" s="5" t="n">
        <v>56.4</v>
      </c>
      <c r="M112" s="5" t="n">
        <v>0.18</v>
      </c>
    </row>
    <row r="113">
      <c r="A113" s="3" t="n">
        <v>39904</v>
      </c>
      <c r="B113" s="4" t="inlineStr">
        <is>
          <t>2009m4</t>
        </is>
      </c>
      <c r="C113" s="5" t="n">
        <v>294.5323636363636</v>
      </c>
      <c r="D113" s="6" t="n">
        <v>22</v>
      </c>
      <c r="E113" s="5" t="n">
        <v>1282</v>
      </c>
      <c r="F113" s="5" t="n">
        <v>50.18190476190476</v>
      </c>
      <c r="G113" s="5" t="n">
        <v>48.8085470286701</v>
      </c>
      <c r="H113" s="5" t="n">
        <v>36.45772727272727</v>
      </c>
      <c r="I113" s="5" t="n">
        <v>176</v>
      </c>
      <c r="J113" s="5" t="n">
        <v>71.8</v>
      </c>
      <c r="K113" s="5" t="n">
        <v>70.90000000000001</v>
      </c>
      <c r="L113" s="5" t="n">
        <v>57</v>
      </c>
      <c r="M113" s="5" t="n">
        <v>0.15</v>
      </c>
    </row>
    <row r="114">
      <c r="A114" s="3" t="n">
        <v>39934</v>
      </c>
      <c r="B114" s="4" t="inlineStr">
        <is>
          <t>2009m5</t>
        </is>
      </c>
      <c r="C114" s="5" t="n">
        <v>178.3605714285714</v>
      </c>
      <c r="D114" s="6" t="n">
        <v>21</v>
      </c>
      <c r="E114" s="5" t="n">
        <v>1255</v>
      </c>
      <c r="F114" s="5" t="n">
        <v>57.30249999999999</v>
      </c>
      <c r="G114" s="5" t="n">
        <v>51.2827453171063</v>
      </c>
      <c r="H114" s="5" t="n">
        <v>32.88842105263158</v>
      </c>
      <c r="I114" s="5" t="n">
        <v>178.7</v>
      </c>
      <c r="J114" s="5" t="n">
        <v>72.40000000000001</v>
      </c>
      <c r="K114" s="5" t="n">
        <v>73.40000000000001</v>
      </c>
      <c r="L114" s="5" t="n">
        <v>61.7</v>
      </c>
      <c r="M114" s="5" t="n">
        <v>0.18</v>
      </c>
    </row>
    <row r="115">
      <c r="A115" s="3" t="n">
        <v>39965</v>
      </c>
      <c r="B115" s="4" t="inlineStr">
        <is>
          <t>2009m6</t>
        </is>
      </c>
      <c r="C115" s="5" t="n">
        <v>172.8090909090909</v>
      </c>
      <c r="D115" s="6" t="n">
        <v>22</v>
      </c>
      <c r="E115" s="5" t="n">
        <v>1273.9</v>
      </c>
      <c r="F115" s="5" t="n">
        <v>68.60954545454545</v>
      </c>
      <c r="G115" s="5" t="n">
        <v>54.8915033279466</v>
      </c>
      <c r="H115" s="5" t="n">
        <v>30.85863636363636</v>
      </c>
      <c r="I115" s="5" t="n">
        <v>178.99</v>
      </c>
      <c r="J115" s="5" t="n">
        <v>75</v>
      </c>
      <c r="K115" s="5" t="n">
        <v>73.3</v>
      </c>
      <c r="L115" s="5" t="n">
        <v>65</v>
      </c>
      <c r="M115" s="5" t="n">
        <v>0.21</v>
      </c>
    </row>
    <row r="116">
      <c r="A116" s="3" t="n">
        <v>39995</v>
      </c>
      <c r="B116" s="4" t="inlineStr">
        <is>
          <t>2009m7</t>
        </is>
      </c>
      <c r="C116" s="5" t="n">
        <v>167.1301739130435</v>
      </c>
      <c r="D116" s="6" t="n">
        <v>23</v>
      </c>
      <c r="E116" s="5" t="n">
        <v>1228.5</v>
      </c>
      <c r="F116" s="5" t="n">
        <v>64.43545454545455</v>
      </c>
      <c r="G116" s="5" t="n">
        <v>55.2480256967</v>
      </c>
      <c r="H116" s="5" t="n">
        <v>25.54434782608696</v>
      </c>
      <c r="I116" s="5" t="n">
        <v>202.96</v>
      </c>
      <c r="J116" s="5" t="n">
        <v>76.7</v>
      </c>
      <c r="K116" s="5" t="n">
        <v>71.7</v>
      </c>
      <c r="L116" s="5" t="n">
        <v>61.7</v>
      </c>
      <c r="M116" s="5" t="n">
        <v>0.16</v>
      </c>
    </row>
    <row r="117">
      <c r="A117" s="3" t="n">
        <v>40026</v>
      </c>
      <c r="B117" s="4" t="inlineStr">
        <is>
          <t>2009m8</t>
        </is>
      </c>
      <c r="C117" s="5" t="n">
        <v>134.774</v>
      </c>
      <c r="D117" s="6" t="n">
        <v>21</v>
      </c>
      <c r="E117" s="5" t="n">
        <v>1248.9</v>
      </c>
      <c r="F117" s="5" t="n">
        <v>72.50857142857143</v>
      </c>
      <c r="G117" s="5" t="n">
        <v>54.3928724339719</v>
      </c>
      <c r="H117" s="5" t="n">
        <v>25.50285714285714</v>
      </c>
      <c r="I117" s="5" t="n">
        <v>207.44</v>
      </c>
      <c r="J117" s="5" t="n">
        <v>77.40000000000001</v>
      </c>
      <c r="K117" s="5" t="n">
        <v>72</v>
      </c>
      <c r="L117" s="5" t="n">
        <v>61.9</v>
      </c>
      <c r="M117" s="5" t="n">
        <v>0.16</v>
      </c>
    </row>
    <row r="118">
      <c r="A118" s="3" t="n">
        <v>40057</v>
      </c>
      <c r="B118" s="4" t="inlineStr">
        <is>
          <t>2009m9</t>
        </is>
      </c>
      <c r="C118" s="5" t="n">
        <v>120.9765454545454</v>
      </c>
      <c r="D118" s="6" t="n">
        <v>22</v>
      </c>
      <c r="E118" s="5" t="n">
        <v>1178.1</v>
      </c>
      <c r="F118" s="5" t="n">
        <v>67.64619047619047</v>
      </c>
      <c r="G118" s="5" t="n">
        <v>57.8675266001283</v>
      </c>
      <c r="H118" s="5" t="n">
        <v>22.685</v>
      </c>
      <c r="I118" s="5" t="n">
        <v>219.75</v>
      </c>
      <c r="J118" s="5" t="n">
        <v>80.5</v>
      </c>
      <c r="K118" s="5" t="n">
        <v>74.09999999999999</v>
      </c>
      <c r="L118" s="5" t="n">
        <v>68.3</v>
      </c>
      <c r="M118" s="5" t="n">
        <v>0.15</v>
      </c>
    </row>
    <row r="119">
      <c r="A119" s="3" t="n">
        <v>40087</v>
      </c>
      <c r="B119" s="4" t="inlineStr">
        <is>
          <t>2009m10</t>
        </is>
      </c>
      <c r="C119" s="5" t="n">
        <v>95.97186363636364</v>
      </c>
      <c r="D119" s="6" t="n">
        <v>22</v>
      </c>
      <c r="E119" s="5" t="n">
        <v>1182.5</v>
      </c>
      <c r="F119" s="5" t="n">
        <v>72.76954545454545</v>
      </c>
      <c r="G119" s="5" t="n">
        <v>57.3036564031199</v>
      </c>
      <c r="H119" s="5" t="n">
        <v>23.31714285714286</v>
      </c>
      <c r="I119" s="5" t="n">
        <v>206.81</v>
      </c>
      <c r="J119" s="5" t="n">
        <v>79.3</v>
      </c>
      <c r="K119" s="5" t="n">
        <v>75.40000000000001</v>
      </c>
      <c r="L119" s="5" t="n">
        <v>66</v>
      </c>
      <c r="M119" s="5" t="n">
        <v>0.12</v>
      </c>
    </row>
    <row r="120">
      <c r="A120" s="3" t="n">
        <v>40118</v>
      </c>
      <c r="B120" s="4" t="inlineStr">
        <is>
          <t>2009m11</t>
        </is>
      </c>
      <c r="C120" s="5" t="n">
        <v>101.4498571428572</v>
      </c>
      <c r="D120" s="6" t="n">
        <v>21</v>
      </c>
      <c r="E120" s="5" t="n">
        <v>1162.8</v>
      </c>
      <c r="F120" s="5" t="n">
        <v>76.66200000000001</v>
      </c>
      <c r="G120" s="5" t="n">
        <v>53.5635473578307</v>
      </c>
      <c r="H120" s="5" t="n">
        <v>22.36476190476191</v>
      </c>
      <c r="I120" s="5" t="n">
        <v>204.75</v>
      </c>
      <c r="J120" s="5" t="n">
        <v>80.2</v>
      </c>
      <c r="K120" s="5" t="n">
        <v>74.2</v>
      </c>
      <c r="L120" s="5" t="n">
        <v>72.09999999999999</v>
      </c>
      <c r="M120" s="5" t="n">
        <v>0.12</v>
      </c>
    </row>
    <row r="121">
      <c r="A121" s="3" t="n">
        <v>40148</v>
      </c>
      <c r="B121" s="4" t="inlineStr">
        <is>
          <t>2009m12</t>
        </is>
      </c>
      <c r="C121" s="5" t="n">
        <v>89.66078260869564</v>
      </c>
      <c r="D121" s="6" t="n">
        <v>23</v>
      </c>
      <c r="E121" s="5" t="n">
        <v>1164.5</v>
      </c>
      <c r="F121" s="5" t="n">
        <v>74.45636363636363</v>
      </c>
      <c r="G121" s="5" t="n">
        <v>59.0106148289163</v>
      </c>
      <c r="H121" s="5" t="n">
        <v>20.41809523809524</v>
      </c>
      <c r="I121" s="5" t="n">
        <v>221.86</v>
      </c>
      <c r="J121" s="5" t="n">
        <v>81</v>
      </c>
      <c r="K121" s="5" t="n">
        <v>75.7</v>
      </c>
      <c r="L121" s="5" t="n">
        <v>72.8</v>
      </c>
      <c r="M121" s="5" t="n">
        <v>0.12</v>
      </c>
    </row>
    <row r="122">
      <c r="A122" s="3" t="n">
        <v>40179</v>
      </c>
      <c r="B122" s="4" t="inlineStr">
        <is>
          <t>2010m1</t>
        </is>
      </c>
      <c r="C122" s="5" t="n">
        <v>90.80885714285715</v>
      </c>
      <c r="D122" s="6" t="n">
        <v>21</v>
      </c>
      <c r="E122" s="5" t="n">
        <v>1161.8</v>
      </c>
      <c r="F122" s="5" t="n">
        <v>76.16736842105263</v>
      </c>
      <c r="G122" s="5" t="n">
        <v>57.5825381413764</v>
      </c>
      <c r="H122" s="5" t="n">
        <v>20.2605</v>
      </c>
      <c r="I122" s="5" t="n">
        <v>210.34</v>
      </c>
      <c r="J122" s="5" t="n">
        <v>82.5</v>
      </c>
      <c r="K122" s="5" t="n">
        <v>76.40000000000001</v>
      </c>
      <c r="L122" s="5" t="n">
        <v>73.09999999999999</v>
      </c>
      <c r="M122" s="5" t="n">
        <v>0.11</v>
      </c>
    </row>
    <row r="123">
      <c r="A123" s="3" t="n">
        <v>40210</v>
      </c>
      <c r="B123" s="4" t="inlineStr">
        <is>
          <t>2010m2</t>
        </is>
      </c>
      <c r="C123" s="5" t="n">
        <v>111.0791</v>
      </c>
      <c r="D123" s="6" t="n">
        <v>20</v>
      </c>
      <c r="E123" s="5" t="n">
        <v>1160</v>
      </c>
      <c r="F123" s="5" t="n">
        <v>73.75210526315789</v>
      </c>
      <c r="G123" s="5" t="n">
        <v>58.418468186991</v>
      </c>
      <c r="H123" s="5" t="n">
        <v>21.36631578947368</v>
      </c>
      <c r="I123" s="5" t="n">
        <v>208.36</v>
      </c>
      <c r="J123" s="5" t="n">
        <v>83.2</v>
      </c>
      <c r="K123" s="5" t="n">
        <v>79.09999999999999</v>
      </c>
      <c r="L123" s="5" t="n">
        <v>77.90000000000001</v>
      </c>
      <c r="M123" s="5" t="n">
        <v>0.13</v>
      </c>
    </row>
    <row r="124">
      <c r="A124" s="3" t="n">
        <v>40238</v>
      </c>
      <c r="B124" s="4" t="inlineStr">
        <is>
          <t>2010m3</t>
        </is>
      </c>
      <c r="C124" s="5" t="n">
        <v>82.45113043478261</v>
      </c>
      <c r="D124" s="6" t="n">
        <v>23</v>
      </c>
      <c r="E124" s="5" t="n">
        <v>1131.3</v>
      </c>
      <c r="F124" s="5" t="n">
        <v>78.82739130434783</v>
      </c>
      <c r="G124" s="5" t="n">
        <v>61.9340575580563</v>
      </c>
      <c r="H124" s="5" t="n">
        <v>18.15181818181818</v>
      </c>
      <c r="I124" s="5" t="n">
        <v>221.58</v>
      </c>
      <c r="J124" s="5" t="n">
        <v>85</v>
      </c>
      <c r="K124" s="5" t="n">
        <v>77.2</v>
      </c>
      <c r="L124" s="5" t="n">
        <v>80.09999999999999</v>
      </c>
      <c r="M124" s="5" t="n">
        <v>0.16</v>
      </c>
    </row>
    <row r="125">
      <c r="A125" s="3" t="n">
        <v>40269</v>
      </c>
      <c r="B125" s="4" t="inlineStr">
        <is>
          <t>2010m4</t>
        </is>
      </c>
      <c r="C125" s="5" t="n">
        <v>80.74418181818181</v>
      </c>
      <c r="D125" s="6" t="n">
        <v>22</v>
      </c>
      <c r="E125" s="5" t="n">
        <v>1108.4</v>
      </c>
      <c r="F125" s="5" t="n">
        <v>84.81761904761905</v>
      </c>
      <c r="G125" s="5" t="n">
        <v>61.8119058889181</v>
      </c>
      <c r="H125" s="5" t="n">
        <v>17.32818181818182</v>
      </c>
      <c r="I125" s="5" t="n">
        <v>227.95</v>
      </c>
      <c r="J125" s="5" t="n">
        <v>86.3</v>
      </c>
      <c r="K125" s="5" t="n">
        <v>76.8</v>
      </c>
      <c r="L125" s="5" t="n">
        <v>77.8</v>
      </c>
      <c r="M125" s="5" t="n">
        <v>0.2</v>
      </c>
    </row>
    <row r="126">
      <c r="A126" s="3" t="n">
        <v>40299</v>
      </c>
      <c r="B126" s="4" t="inlineStr">
        <is>
          <t>2010m5</t>
        </is>
      </c>
      <c r="C126" s="5" t="n">
        <v>118.6477142857143</v>
      </c>
      <c r="D126" s="6" t="n">
        <v>21</v>
      </c>
      <c r="E126" s="5" t="n">
        <v>1202.5</v>
      </c>
      <c r="F126" s="5" t="n">
        <v>75.94550000000001</v>
      </c>
      <c r="G126" s="5" t="n">
        <v>63.5113065299198</v>
      </c>
      <c r="H126" s="5" t="n">
        <v>24.53789473684211</v>
      </c>
      <c r="I126" s="5" t="n">
        <v>214.34</v>
      </c>
      <c r="J126" s="5" t="n">
        <v>86.8</v>
      </c>
      <c r="K126" s="5" t="n">
        <v>77.5</v>
      </c>
      <c r="L126" s="5" t="n">
        <v>74.09999999999999</v>
      </c>
      <c r="M126" s="5" t="n">
        <v>0.2</v>
      </c>
    </row>
    <row r="127">
      <c r="A127" s="3" t="n">
        <v>40330</v>
      </c>
      <c r="B127" s="4" t="inlineStr">
        <is>
          <t>2010m6</t>
        </is>
      </c>
      <c r="C127" s="5" t="n">
        <v>130.3081363636364</v>
      </c>
      <c r="D127" s="6" t="n">
        <v>22</v>
      </c>
      <c r="E127" s="5" t="n">
        <v>1222.2</v>
      </c>
      <c r="F127" s="5" t="n">
        <v>74.7609090909091</v>
      </c>
      <c r="G127" s="5" t="n">
        <v>63.6406615911368</v>
      </c>
      <c r="H127" s="5" t="n">
        <v>21.02285714285714</v>
      </c>
      <c r="I127" s="5" t="n">
        <v>220.85</v>
      </c>
      <c r="J127" s="5" t="n">
        <v>87.09999999999999</v>
      </c>
      <c r="K127" s="5" t="n">
        <v>78.40000000000001</v>
      </c>
      <c r="L127" s="5" t="n">
        <v>79.8</v>
      </c>
      <c r="M127" s="5" t="n">
        <v>0.18</v>
      </c>
    </row>
    <row r="128">
      <c r="A128" s="3" t="n">
        <v>40360</v>
      </c>
      <c r="B128" s="4" t="inlineStr">
        <is>
          <t>2010m7</t>
        </is>
      </c>
      <c r="C128" s="5" t="n">
        <v>113.8221363636364</v>
      </c>
      <c r="D128" s="6" t="n">
        <v>22</v>
      </c>
      <c r="E128" s="5" t="n">
        <v>1182.7</v>
      </c>
      <c r="F128" s="5" t="n">
        <v>75.58</v>
      </c>
      <c r="G128" s="5" t="n">
        <v>61.8300406199805</v>
      </c>
      <c r="H128" s="5" t="n">
        <v>19.87363636363636</v>
      </c>
      <c r="I128" s="5" t="n">
        <v>229.25</v>
      </c>
      <c r="J128" s="5" t="n">
        <v>87.40000000000001</v>
      </c>
      <c r="K128" s="5" t="n">
        <v>78.8</v>
      </c>
      <c r="L128" s="5" t="n">
        <v>77.90000000000001</v>
      </c>
      <c r="M128" s="5" t="n">
        <v>0.18</v>
      </c>
    </row>
    <row r="129">
      <c r="A129" s="3" t="n">
        <v>40391</v>
      </c>
      <c r="B129" s="4" t="inlineStr">
        <is>
          <t>2010m8</t>
        </is>
      </c>
      <c r="C129" s="5" t="n">
        <v>110.5964545454545</v>
      </c>
      <c r="D129" s="6" t="n">
        <v>22</v>
      </c>
      <c r="E129" s="5" t="n">
        <v>1198.1</v>
      </c>
      <c r="F129" s="5" t="n">
        <v>77.03954545454545</v>
      </c>
      <c r="G129" s="5" t="n">
        <v>64.6501772581726</v>
      </c>
      <c r="H129" s="5" t="n">
        <v>18.47136363636364</v>
      </c>
      <c r="I129" s="5" t="n">
        <v>226.81</v>
      </c>
      <c r="J129" s="5" t="n">
        <v>86.90000000000001</v>
      </c>
      <c r="K129" s="5" t="n">
        <v>78.5</v>
      </c>
      <c r="L129" s="5" t="n">
        <v>84.2</v>
      </c>
      <c r="M129" s="5" t="n">
        <v>0.19</v>
      </c>
    </row>
    <row r="130">
      <c r="A130" s="3" t="n">
        <v>40422</v>
      </c>
      <c r="B130" s="4" t="inlineStr">
        <is>
          <t>2010m9</t>
        </is>
      </c>
      <c r="C130" s="5" t="n">
        <v>107.2983636363636</v>
      </c>
      <c r="D130" s="6" t="n">
        <v>22</v>
      </c>
      <c r="E130" s="5" t="n">
        <v>1140.2</v>
      </c>
      <c r="F130" s="5" t="n">
        <v>77.8404761904762</v>
      </c>
      <c r="G130" s="5" t="n">
        <v>64.9633689898787</v>
      </c>
      <c r="H130" s="5" t="n">
        <v>16.38052631578947</v>
      </c>
      <c r="I130" s="5" t="n">
        <v>242.95</v>
      </c>
      <c r="J130" s="5" t="n">
        <v>87.2</v>
      </c>
      <c r="K130" s="5" t="n">
        <v>79.7</v>
      </c>
      <c r="L130" s="5" t="n">
        <v>81.2</v>
      </c>
      <c r="M130" s="5" t="n">
        <v>0.19</v>
      </c>
    </row>
    <row r="131">
      <c r="A131" s="3" t="n">
        <v>40452</v>
      </c>
      <c r="B131" s="4" t="inlineStr">
        <is>
          <t>2010m10</t>
        </is>
      </c>
      <c r="C131" s="5" t="n">
        <v>83.66152380952381</v>
      </c>
      <c r="D131" s="6" t="n">
        <v>21</v>
      </c>
      <c r="E131" s="5" t="n">
        <v>1125.3</v>
      </c>
      <c r="F131" s="5" t="n">
        <v>82.6647619047619</v>
      </c>
      <c r="G131" s="5" t="n">
        <v>64.36142455286119</v>
      </c>
      <c r="H131" s="5" t="n">
        <v>17.05047619047619</v>
      </c>
      <c r="I131" s="5" t="n">
        <v>242.98</v>
      </c>
      <c r="J131" s="5" t="n">
        <v>88.2</v>
      </c>
      <c r="K131" s="5" t="n">
        <v>79.09999999999999</v>
      </c>
      <c r="L131" s="5" t="n">
        <v>80.59999999999999</v>
      </c>
      <c r="M131" s="5" t="n">
        <v>0.19</v>
      </c>
    </row>
    <row r="132">
      <c r="A132" s="3" t="n">
        <v>40483</v>
      </c>
      <c r="B132" s="4" t="inlineStr">
        <is>
          <t>2010m11</t>
        </is>
      </c>
      <c r="C132" s="5" t="n">
        <v>89.91586363636364</v>
      </c>
      <c r="D132" s="6" t="n">
        <v>22</v>
      </c>
      <c r="E132" s="5" t="n">
        <v>1159.7</v>
      </c>
      <c r="F132" s="5" t="n">
        <v>85.2747619047619</v>
      </c>
      <c r="G132" s="5" t="n">
        <v>64.7333091411946</v>
      </c>
      <c r="H132" s="5" t="n">
        <v>19.83590909090909</v>
      </c>
      <c r="I132" s="5" t="n">
        <v>249.64</v>
      </c>
      <c r="J132" s="5" t="n">
        <v>88.59999999999999</v>
      </c>
      <c r="K132" s="5" t="n">
        <v>79.90000000000001</v>
      </c>
      <c r="L132" s="5" t="n">
        <v>81.8</v>
      </c>
      <c r="M132" s="5" t="n">
        <v>0.19</v>
      </c>
    </row>
    <row r="133">
      <c r="A133" s="3" t="n">
        <v>40513</v>
      </c>
      <c r="B133" s="4" t="inlineStr">
        <is>
          <t>2010m12</t>
        </is>
      </c>
      <c r="C133" s="5" t="n">
        <v>98.34447826086958</v>
      </c>
      <c r="D133" s="6" t="n">
        <v>23</v>
      </c>
      <c r="E133" s="5" t="n">
        <v>1134.8</v>
      </c>
      <c r="F133" s="5" t="n">
        <v>91.44681818181817</v>
      </c>
      <c r="G133" s="5" t="n">
        <v>65.2540266451369</v>
      </c>
      <c r="H133" s="5" t="n">
        <v>17.72181818181818</v>
      </c>
      <c r="I133" s="5" t="n">
        <v>271.19</v>
      </c>
      <c r="J133" s="5" t="n">
        <v>89.8</v>
      </c>
      <c r="K133" s="5" t="n">
        <v>80.7</v>
      </c>
      <c r="L133" s="5" t="n">
        <v>82.09999999999999</v>
      </c>
      <c r="M133" s="5" t="n">
        <v>0.18</v>
      </c>
    </row>
    <row r="134">
      <c r="A134" s="3" t="n">
        <v>40544</v>
      </c>
      <c r="B134" s="4" t="inlineStr">
        <is>
          <t>2011m1</t>
        </is>
      </c>
      <c r="C134" s="5" t="n">
        <v>98.23719047619049</v>
      </c>
      <c r="D134" s="6" t="n">
        <v>21</v>
      </c>
      <c r="E134" s="5" t="n">
        <v>1121.5</v>
      </c>
      <c r="F134" s="5" t="n">
        <v>96.5235</v>
      </c>
      <c r="G134" s="5" t="n">
        <v>67.5358018281797</v>
      </c>
      <c r="H134" s="5" t="n">
        <v>15.82380952380952</v>
      </c>
      <c r="I134" s="5" t="n">
        <v>273.12</v>
      </c>
      <c r="J134" s="5" t="n">
        <v>92.8</v>
      </c>
      <c r="K134" s="5" t="n">
        <v>84.7</v>
      </c>
      <c r="L134" s="5" t="n">
        <v>80.7</v>
      </c>
      <c r="M134" s="5" t="n">
        <v>0.17</v>
      </c>
    </row>
    <row r="135">
      <c r="A135" s="3" t="n">
        <v>40575</v>
      </c>
      <c r="B135" s="4" t="inlineStr">
        <is>
          <t>2011m2</t>
        </is>
      </c>
      <c r="C135" s="5" t="n">
        <v>99.4195</v>
      </c>
      <c r="D135" s="6" t="n">
        <v>20</v>
      </c>
      <c r="E135" s="5" t="n">
        <v>1128.7</v>
      </c>
      <c r="F135" s="5" t="n">
        <v>103.7163157894737</v>
      </c>
      <c r="G135" s="5" t="n">
        <v>65.6420777243316</v>
      </c>
      <c r="H135" s="5" t="n">
        <v>18.61882352941176</v>
      </c>
      <c r="I135" s="5" t="n">
        <v>256.36</v>
      </c>
      <c r="J135" s="5" t="n">
        <v>89.90000000000001</v>
      </c>
      <c r="K135" s="5" t="n">
        <v>78.3</v>
      </c>
      <c r="L135" s="5" t="n">
        <v>80</v>
      </c>
      <c r="M135" s="5" t="n">
        <v>0.16</v>
      </c>
    </row>
    <row r="136">
      <c r="A136" s="3" t="n">
        <v>40603</v>
      </c>
      <c r="B136" s="4" t="inlineStr">
        <is>
          <t>2011m3</t>
        </is>
      </c>
      <c r="C136" s="5" t="n">
        <v>102.5981739130435</v>
      </c>
      <c r="D136" s="6" t="n">
        <v>23</v>
      </c>
      <c r="E136" s="5" t="n">
        <v>1096.7</v>
      </c>
      <c r="F136" s="5" t="n">
        <v>114.6434782608696</v>
      </c>
      <c r="G136" s="5" t="n">
        <v>65.04987314563991</v>
      </c>
      <c r="H136" s="5" t="n">
        <v>18.37727272727273</v>
      </c>
      <c r="I136" s="5" t="n">
        <v>278.87</v>
      </c>
      <c r="J136" s="5" t="n">
        <v>92.3</v>
      </c>
      <c r="K136" s="5" t="n">
        <v>81</v>
      </c>
      <c r="L136" s="5" t="n">
        <v>83.8</v>
      </c>
      <c r="M136" s="5" t="n">
        <v>0.14</v>
      </c>
    </row>
    <row r="137">
      <c r="A137" s="3" t="n">
        <v>40634</v>
      </c>
      <c r="B137" s="4" t="inlineStr">
        <is>
          <t>2011m4</t>
        </is>
      </c>
      <c r="C137" s="5" t="n">
        <v>97.77609523809522</v>
      </c>
      <c r="D137" s="6" t="n">
        <v>21</v>
      </c>
      <c r="E137" s="5" t="n">
        <v>1071.5</v>
      </c>
      <c r="F137" s="5" t="n">
        <v>123.2588888888889</v>
      </c>
      <c r="G137" s="5" t="n">
        <v>65.6466308971474</v>
      </c>
      <c r="H137" s="5" t="n">
        <v>17.96619047619048</v>
      </c>
      <c r="I137" s="5" t="n">
        <v>290.39</v>
      </c>
      <c r="J137" s="5" t="n">
        <v>91.09999999999999</v>
      </c>
      <c r="K137" s="5" t="n">
        <v>81.40000000000001</v>
      </c>
      <c r="L137" s="5" t="n">
        <v>79.3</v>
      </c>
      <c r="M137" s="5" t="n">
        <v>0.1</v>
      </c>
    </row>
    <row r="138">
      <c r="A138" s="3" t="n">
        <v>40664</v>
      </c>
      <c r="B138" s="4" t="inlineStr">
        <is>
          <t>2011m5</t>
        </is>
      </c>
      <c r="C138" s="5" t="n">
        <v>97.14777272727274</v>
      </c>
      <c r="D138" s="6" t="n">
        <v>22</v>
      </c>
      <c r="E138" s="5" t="n">
        <v>1079.2</v>
      </c>
      <c r="F138" s="5" t="n">
        <v>114.9890476190476</v>
      </c>
      <c r="G138" s="5" t="n">
        <v>64.9834069127227</v>
      </c>
      <c r="H138" s="5" t="n">
        <v>19.227</v>
      </c>
      <c r="I138" s="5" t="n">
        <v>282.76</v>
      </c>
      <c r="J138" s="5" t="n">
        <v>91.59999999999999</v>
      </c>
      <c r="K138" s="5" t="n">
        <v>81.90000000000001</v>
      </c>
      <c r="L138" s="5" t="n">
        <v>83.90000000000001</v>
      </c>
      <c r="M138" s="5" t="n">
        <v>0.09</v>
      </c>
    </row>
    <row r="139">
      <c r="A139" s="3" t="n">
        <v>40695</v>
      </c>
      <c r="B139" s="4" t="inlineStr">
        <is>
          <t>2011m6</t>
        </is>
      </c>
      <c r="C139" s="5" t="n">
        <v>100.3616818181818</v>
      </c>
      <c r="D139" s="6" t="n">
        <v>22</v>
      </c>
      <c r="E139" s="5" t="n">
        <v>1067.7</v>
      </c>
      <c r="F139" s="5" t="n">
        <v>113.8331818181818</v>
      </c>
      <c r="G139" s="5" t="n">
        <v>63.3766493477894</v>
      </c>
      <c r="H139" s="5" t="n">
        <v>19.80666666666666</v>
      </c>
      <c r="I139" s="5" t="n">
        <v>275.17</v>
      </c>
      <c r="J139" s="5" t="n">
        <v>92.3</v>
      </c>
      <c r="K139" s="5" t="n">
        <v>82.59999999999999</v>
      </c>
      <c r="L139" s="5" t="n">
        <v>83.8</v>
      </c>
      <c r="M139" s="5" t="n">
        <v>0.09</v>
      </c>
    </row>
    <row r="140">
      <c r="A140" s="3" t="n">
        <v>40725</v>
      </c>
      <c r="B140" s="4" t="inlineStr">
        <is>
          <t>2011m7</t>
        </is>
      </c>
      <c r="C140" s="5" t="n">
        <v>103.477</v>
      </c>
      <c r="D140" s="6" t="n">
        <v>21</v>
      </c>
      <c r="E140" s="5" t="n">
        <v>1054.5</v>
      </c>
      <c r="F140" s="5" t="n">
        <v>116.9735</v>
      </c>
      <c r="G140" s="5" t="n">
        <v>65.18584377805141</v>
      </c>
      <c r="H140" s="5" t="n">
        <v>19.14</v>
      </c>
      <c r="I140" s="5" t="n">
        <v>277.11</v>
      </c>
      <c r="J140" s="5" t="n">
        <v>92</v>
      </c>
      <c r="K140" s="5" t="n">
        <v>81.40000000000001</v>
      </c>
      <c r="L140" s="5" t="n">
        <v>81.7</v>
      </c>
      <c r="M140" s="5" t="n">
        <v>0.07000000000000001</v>
      </c>
    </row>
    <row r="141">
      <c r="A141" s="3" t="n">
        <v>40756</v>
      </c>
      <c r="B141" s="4" t="inlineStr">
        <is>
          <t>2011m8</t>
        </is>
      </c>
      <c r="C141" s="5" t="n">
        <v>127.6894347826087</v>
      </c>
      <c r="D141" s="6" t="n">
        <v>23</v>
      </c>
      <c r="E141" s="5" t="n">
        <v>1066.8</v>
      </c>
      <c r="F141" s="5" t="n">
        <v>110.2195454545455</v>
      </c>
      <c r="G141" s="5" t="n">
        <v>66.8562073419015</v>
      </c>
      <c r="H141" s="5" t="n">
        <v>33.37045454545454</v>
      </c>
      <c r="I141" s="5" t="n">
        <v>242.16</v>
      </c>
      <c r="J141" s="5" t="n">
        <v>91.5</v>
      </c>
      <c r="K141" s="5" t="n">
        <v>82.09999999999999</v>
      </c>
      <c r="L141" s="5" t="n">
        <v>88.59999999999999</v>
      </c>
      <c r="M141" s="5" t="n">
        <v>0.1</v>
      </c>
    </row>
    <row r="142">
      <c r="A142" s="3" t="n">
        <v>40787</v>
      </c>
      <c r="B142" s="4" t="inlineStr">
        <is>
          <t>2011m9</t>
        </is>
      </c>
      <c r="C142" s="5" t="n">
        <v>159.7112727272727</v>
      </c>
      <c r="D142" s="6" t="n">
        <v>22</v>
      </c>
      <c r="E142" s="5" t="n">
        <v>1178.1</v>
      </c>
      <c r="F142" s="5" t="n">
        <v>112.8338095238095</v>
      </c>
      <c r="G142" s="5" t="n">
        <v>64.6239809929705</v>
      </c>
      <c r="H142" s="5" t="n">
        <v>38.8535</v>
      </c>
      <c r="I142" s="5" t="n">
        <v>230.41</v>
      </c>
      <c r="J142" s="5" t="n">
        <v>91.90000000000001</v>
      </c>
      <c r="K142" s="5" t="n">
        <v>82.2</v>
      </c>
      <c r="L142" s="5" t="n">
        <v>81</v>
      </c>
      <c r="M142" s="5" t="n">
        <v>0.08</v>
      </c>
    </row>
    <row r="143">
      <c r="A143" s="3" t="n">
        <v>40817</v>
      </c>
      <c r="B143" s="4" t="inlineStr">
        <is>
          <t>2011m10</t>
        </is>
      </c>
      <c r="C143" s="5" t="n">
        <v>169.1796666666667</v>
      </c>
      <c r="D143" s="6" t="n">
        <v>21</v>
      </c>
      <c r="E143" s="5" t="n">
        <v>1110</v>
      </c>
      <c r="F143" s="5" t="n">
        <v>109.55</v>
      </c>
      <c r="G143" s="5" t="n">
        <v>68.4916122767802</v>
      </c>
      <c r="H143" s="5" t="n">
        <v>35.11</v>
      </c>
      <c r="I143" s="5" t="n">
        <v>249.88</v>
      </c>
      <c r="J143" s="5" t="n">
        <v>93.7</v>
      </c>
      <c r="K143" s="5" t="n">
        <v>81.8</v>
      </c>
      <c r="L143" s="5" t="n">
        <v>76.7</v>
      </c>
      <c r="M143" s="5" t="n">
        <v>0.07000000000000001</v>
      </c>
    </row>
    <row r="144">
      <c r="A144" s="3" t="n">
        <v>40848</v>
      </c>
      <c r="B144" s="4" t="inlineStr">
        <is>
          <t>2011m11</t>
        </is>
      </c>
      <c r="C144" s="5" t="n">
        <v>160.3690909090909</v>
      </c>
      <c r="D144" s="6" t="n">
        <v>22</v>
      </c>
      <c r="E144" s="5" t="n">
        <v>1143</v>
      </c>
      <c r="F144" s="5" t="n">
        <v>110.7680952380952</v>
      </c>
      <c r="G144" s="5" t="n">
        <v>67.75233951587241</v>
      </c>
      <c r="H144" s="5" t="n">
        <v>33.17363636363636</v>
      </c>
      <c r="I144" s="5" t="n">
        <v>241.19</v>
      </c>
      <c r="J144" s="5" t="n">
        <v>91.8</v>
      </c>
      <c r="K144" s="5" t="n">
        <v>81</v>
      </c>
      <c r="L144" s="5" t="n">
        <v>81.59999999999999</v>
      </c>
      <c r="M144" s="5" t="n">
        <v>0.08</v>
      </c>
    </row>
    <row r="145">
      <c r="A145" s="3" t="n">
        <v>40878</v>
      </c>
      <c r="B145" s="4" t="inlineStr">
        <is>
          <t>2011m12</t>
        </is>
      </c>
      <c r="C145" s="5" t="n">
        <v>154.0450714285714</v>
      </c>
      <c r="D145" s="6" t="n">
        <v>14</v>
      </c>
      <c r="E145" s="5" t="n">
        <v>1151.8</v>
      </c>
      <c r="F145" s="5" t="n">
        <v>107.8705</v>
      </c>
      <c r="G145" s="5" t="n">
        <v>64.33818110828879</v>
      </c>
      <c r="H145" s="5" t="n">
        <v>27.13333333333333</v>
      </c>
      <c r="I145" s="5" t="n">
        <v>238.08</v>
      </c>
      <c r="J145" s="5" t="n">
        <v>90.09999999999999</v>
      </c>
      <c r="K145" s="5" t="n">
        <v>82.7</v>
      </c>
      <c r="L145" s="5" t="n">
        <v>82.09999999999999</v>
      </c>
      <c r="M145" s="5" t="n">
        <v>0.07000000000000001</v>
      </c>
    </row>
    <row r="146">
      <c r="A146" s="3" t="n">
        <v>40909</v>
      </c>
      <c r="B146" s="4" t="inlineStr">
        <is>
          <t>2012m1</t>
        </is>
      </c>
      <c r="C146" s="5" t="n">
        <v>164.6847272727273</v>
      </c>
      <c r="D146" s="6" t="n">
        <v>11</v>
      </c>
      <c r="E146" s="5" t="n">
        <v>1123.3</v>
      </c>
      <c r="F146" s="5" t="n">
        <v>110.686</v>
      </c>
      <c r="G146" s="5" t="n">
        <v>64.7765520058451</v>
      </c>
      <c r="H146" s="5" t="n">
        <v>24.6655</v>
      </c>
      <c r="I146" s="5" t="n">
        <v>256.9</v>
      </c>
      <c r="J146" s="5" t="n">
        <v>92.2</v>
      </c>
      <c r="K146" s="5" t="n">
        <v>84.2</v>
      </c>
      <c r="L146" s="5" t="n">
        <v>87.8</v>
      </c>
      <c r="M146" s="5" t="n">
        <v>0.08</v>
      </c>
    </row>
    <row r="147">
      <c r="A147" s="3" t="n">
        <v>40940</v>
      </c>
      <c r="B147" s="4" t="inlineStr">
        <is>
          <t>2012m2</t>
        </is>
      </c>
      <c r="C147" s="5" t="n">
        <v>141.897</v>
      </c>
      <c r="D147" s="6" t="n">
        <v>1</v>
      </c>
      <c r="E147" s="5" t="n">
        <v>1118.7</v>
      </c>
      <c r="F147" s="5" t="n">
        <v>119.327</v>
      </c>
      <c r="G147" s="5" t="n">
        <v>63.3729117417201</v>
      </c>
      <c r="H147" s="5" t="n">
        <v>21.33857142857143</v>
      </c>
      <c r="I147" s="5" t="n">
        <v>267.13</v>
      </c>
      <c r="J147" s="5" t="n">
        <v>96.2</v>
      </c>
      <c r="K147" s="5" t="n">
        <v>82.3</v>
      </c>
      <c r="L147" s="5" t="n">
        <v>93.5</v>
      </c>
      <c r="M147" s="5" t="n">
        <v>0.1</v>
      </c>
    </row>
    <row r="148">
      <c r="A148" s="3" t="n">
        <v>40969</v>
      </c>
      <c r="B148" s="4" t="inlineStr">
        <is>
          <t>2012m3</t>
        </is>
      </c>
      <c r="C148" s="5" t="n">
        <v>123.0848235294118</v>
      </c>
      <c r="D148" s="6" t="n">
        <v>17</v>
      </c>
      <c r="E148" s="5" t="n">
        <v>1133</v>
      </c>
      <c r="F148" s="5" t="n">
        <v>125.4454545454546</v>
      </c>
      <c r="G148" s="5" t="n">
        <v>66.95617621265831</v>
      </c>
      <c r="H148" s="5" t="n">
        <v>18.2647619047619</v>
      </c>
      <c r="I148" s="5" t="n">
        <v>266.58</v>
      </c>
      <c r="J148" s="5" t="n">
        <v>93.09999999999999</v>
      </c>
      <c r="K148" s="5" t="n">
        <v>81.8</v>
      </c>
      <c r="L148" s="5" t="n">
        <v>81.3</v>
      </c>
      <c r="M148" s="5" t="n">
        <v>0.13</v>
      </c>
    </row>
    <row r="149">
      <c r="A149" s="3" t="n">
        <v>41000</v>
      </c>
      <c r="B149" s="4" t="inlineStr">
        <is>
          <t>2012m4</t>
        </is>
      </c>
      <c r="C149" s="5" t="n">
        <v>123.4298</v>
      </c>
      <c r="D149" s="6" t="n">
        <v>15</v>
      </c>
      <c r="E149" s="5" t="n">
        <v>1130</v>
      </c>
      <c r="F149" s="5" t="n">
        <v>119.4216666666667</v>
      </c>
      <c r="G149" s="5" t="n">
        <v>63.9518039592351</v>
      </c>
      <c r="H149" s="5" t="n">
        <v>17.829</v>
      </c>
      <c r="I149" s="5" t="n">
        <v>264.35</v>
      </c>
      <c r="J149" s="5" t="n">
        <v>94.2</v>
      </c>
      <c r="K149" s="5" t="n">
        <v>82.09999999999999</v>
      </c>
      <c r="L149" s="5" t="n">
        <v>83.7</v>
      </c>
      <c r="M149" s="5" t="n">
        <v>0.14</v>
      </c>
    </row>
    <row r="150">
      <c r="A150" s="3" t="n">
        <v>41030</v>
      </c>
      <c r="B150" s="4" t="inlineStr">
        <is>
          <t>2012m5</t>
        </is>
      </c>
      <c r="C150" s="5" t="n">
        <v>133.8316521739131</v>
      </c>
      <c r="D150" s="6" t="n">
        <v>23</v>
      </c>
      <c r="E150" s="5" t="n">
        <v>1180.3</v>
      </c>
      <c r="F150" s="5" t="n">
        <v>110.3395238095238</v>
      </c>
      <c r="G150" s="5" t="n">
        <v>70.6568074351128</v>
      </c>
      <c r="H150" s="5" t="n">
        <v>20.41333333333333</v>
      </c>
      <c r="I150" s="5" t="n">
        <v>244.05</v>
      </c>
      <c r="J150" s="5" t="n">
        <v>94.8</v>
      </c>
      <c r="K150" s="5" t="n">
        <v>83.8</v>
      </c>
      <c r="L150" s="5" t="n">
        <v>79.5</v>
      </c>
      <c r="M150" s="5" t="n">
        <v>0.16</v>
      </c>
    </row>
    <row r="151">
      <c r="A151" s="3" t="n">
        <v>41061</v>
      </c>
      <c r="B151" s="4" t="inlineStr">
        <is>
          <t>2012m6</t>
        </is>
      </c>
      <c r="C151" s="5" t="n">
        <v>130.0799047619047</v>
      </c>
      <c r="D151" s="6" t="n">
        <v>21</v>
      </c>
      <c r="E151" s="5" t="n">
        <v>1145.4</v>
      </c>
      <c r="F151" s="5" t="n">
        <v>95.15571428571428</v>
      </c>
      <c r="G151" s="5" t="n">
        <v>68.353576075501</v>
      </c>
      <c r="H151" s="5" t="n">
        <v>22.658</v>
      </c>
      <c r="I151" s="5" t="n">
        <v>244.9</v>
      </c>
      <c r="J151" s="5" t="n">
        <v>93</v>
      </c>
      <c r="K151" s="5" t="n">
        <v>83.7</v>
      </c>
      <c r="L151" s="5" t="n">
        <v>76</v>
      </c>
      <c r="M151" s="5" t="n">
        <v>0.16</v>
      </c>
    </row>
    <row r="152">
      <c r="A152" s="3" t="n">
        <v>41091</v>
      </c>
      <c r="B152" s="4" t="inlineStr">
        <is>
          <t>2012m7</t>
        </is>
      </c>
      <c r="C152" s="5" t="n">
        <v>119.6032727272727</v>
      </c>
      <c r="D152" s="6" t="n">
        <v>22</v>
      </c>
      <c r="E152" s="5" t="n">
        <v>1130.6</v>
      </c>
      <c r="F152" s="5" t="n">
        <v>102.6185714285714</v>
      </c>
      <c r="G152" s="5" t="n">
        <v>67.80266500594389</v>
      </c>
      <c r="H152" s="5" t="n">
        <v>18.86318181818182</v>
      </c>
      <c r="I152" s="5" t="n">
        <v>250.08</v>
      </c>
      <c r="J152" s="5" t="n">
        <v>92</v>
      </c>
      <c r="K152" s="5" t="n">
        <v>84.3</v>
      </c>
      <c r="L152" s="5" t="n">
        <v>80.5</v>
      </c>
      <c r="M152" s="5" t="n">
        <v>0.16</v>
      </c>
    </row>
    <row r="153">
      <c r="A153" s="3" t="n">
        <v>41122</v>
      </c>
      <c r="B153" s="4" t="inlineStr">
        <is>
          <t>2012m8</t>
        </is>
      </c>
      <c r="C153" s="5" t="n">
        <v>110.6672608695652</v>
      </c>
      <c r="D153" s="6" t="n">
        <v>23</v>
      </c>
      <c r="E153" s="5" t="n">
        <v>1134.7</v>
      </c>
      <c r="F153" s="5" t="n">
        <v>113.3560869565217</v>
      </c>
      <c r="G153" s="5" t="n">
        <v>67.35736365286211</v>
      </c>
      <c r="H153" s="5" t="n">
        <v>19.53681818181818</v>
      </c>
      <c r="I153" s="5" t="n">
        <v>250.56</v>
      </c>
      <c r="J153" s="5" t="n">
        <v>90.40000000000001</v>
      </c>
      <c r="K153" s="5" t="n">
        <v>82.3</v>
      </c>
      <c r="L153" s="5" t="n">
        <v>74</v>
      </c>
      <c r="M153" s="5" t="n">
        <v>0.13</v>
      </c>
    </row>
    <row r="154">
      <c r="A154" s="3" t="n">
        <v>41153</v>
      </c>
      <c r="B154" s="4" t="inlineStr">
        <is>
          <t>2012m9</t>
        </is>
      </c>
      <c r="C154" s="5" t="n">
        <v>95.73777777777778</v>
      </c>
      <c r="D154" s="6" t="n">
        <v>9</v>
      </c>
      <c r="E154" s="5" t="n">
        <v>1111.4</v>
      </c>
      <c r="F154" s="5" t="n">
        <v>112.8636842105263</v>
      </c>
      <c r="G154" s="5" t="n">
        <v>69.9799232345262</v>
      </c>
      <c r="H154" s="5" t="n">
        <v>18.8615</v>
      </c>
      <c r="I154" s="5" t="n">
        <v>262.49</v>
      </c>
      <c r="J154" s="5" t="n">
        <v>91.3</v>
      </c>
      <c r="K154" s="5" t="n">
        <v>83.7</v>
      </c>
      <c r="L154" s="5" t="n">
        <v>76.5</v>
      </c>
      <c r="M154" s="5" t="n">
        <v>0.14</v>
      </c>
    </row>
    <row r="155">
      <c r="A155" s="3" t="n">
        <v>41183</v>
      </c>
      <c r="B155" s="4" t="inlineStr">
        <is>
          <t>2012m10</t>
        </is>
      </c>
      <c r="C155" s="5" t="n">
        <v>76.923</v>
      </c>
      <c r="D155" s="6" t="n">
        <v>2</v>
      </c>
      <c r="E155" s="5" t="n">
        <v>1090.7</v>
      </c>
      <c r="F155" s="5" t="n">
        <v>111.7108695652174</v>
      </c>
      <c r="G155" s="5" t="n">
        <v>67.85207315113909</v>
      </c>
      <c r="H155" s="5" t="n">
        <v>17.52095238095238</v>
      </c>
      <c r="I155" s="5" t="n">
        <v>250.18</v>
      </c>
      <c r="J155" s="5" t="n">
        <v>93.90000000000001</v>
      </c>
      <c r="K155" s="5" t="n">
        <v>83.40000000000001</v>
      </c>
      <c r="L155" s="5" t="n">
        <v>77.7</v>
      </c>
      <c r="M155" s="5" t="n">
        <v>0.16</v>
      </c>
    </row>
    <row r="156">
      <c r="A156" s="3" t="n">
        <v>41214</v>
      </c>
      <c r="B156" s="4" t="inlineStr">
        <is>
          <t>2012m11</t>
        </is>
      </c>
      <c r="C156" s="5" t="n">
        <v>70.2683</v>
      </c>
      <c r="D156" s="6" t="n">
        <v>0</v>
      </c>
      <c r="E156" s="5" t="n">
        <v>1082.9</v>
      </c>
      <c r="F156" s="5" t="n">
        <v>109.0585714285714</v>
      </c>
      <c r="G156" s="5" t="n">
        <v>68.9564812767247</v>
      </c>
      <c r="H156" s="5" t="n">
        <v>16.56727272727273</v>
      </c>
      <c r="I156" s="5" t="n">
        <v>254.25</v>
      </c>
      <c r="J156" s="5" t="n">
        <v>94.5</v>
      </c>
      <c r="K156" s="5" t="n">
        <v>83.90000000000001</v>
      </c>
      <c r="L156" s="5" t="n">
        <v>73.40000000000001</v>
      </c>
      <c r="M156" s="5" t="n">
        <v>0.16</v>
      </c>
    </row>
    <row r="157">
      <c r="A157" s="3" t="n">
        <v>41244</v>
      </c>
      <c r="B157" s="4" t="inlineStr">
        <is>
          <t>2012m12</t>
        </is>
      </c>
      <c r="C157" s="5" t="n">
        <v>63.6136</v>
      </c>
      <c r="D157" s="6" t="n">
        <v>5</v>
      </c>
      <c r="E157" s="5" t="n">
        <v>1070.6</v>
      </c>
      <c r="F157" s="5" t="n">
        <v>109.494</v>
      </c>
      <c r="G157" s="5" t="n">
        <v>70.3160757960661</v>
      </c>
      <c r="H157" s="5" t="n">
        <v>15.25111111111111</v>
      </c>
      <c r="I157" s="5" t="n">
        <v>263.92</v>
      </c>
      <c r="J157" s="5" t="n">
        <v>94.40000000000001</v>
      </c>
      <c r="K157" s="5" t="n">
        <v>84.3</v>
      </c>
      <c r="L157" s="5" t="n">
        <v>78.09999999999999</v>
      </c>
      <c r="M157" s="5" t="n">
        <v>0.16</v>
      </c>
    </row>
    <row r="158">
      <c r="A158" s="3" t="n">
        <v>41275</v>
      </c>
      <c r="B158" s="4" t="inlineStr">
        <is>
          <t>2013m1</t>
        </is>
      </c>
      <c r="C158" s="5" t="n">
        <v>67.23733333333332</v>
      </c>
      <c r="D158" s="6" t="n">
        <v>15</v>
      </c>
      <c r="E158" s="5" t="n">
        <v>1089</v>
      </c>
      <c r="F158" s="5" t="n">
        <v>112.96</v>
      </c>
      <c r="G158" s="5" t="n">
        <v>71.36326784507921</v>
      </c>
      <c r="H158" s="5" t="n">
        <v>14.61363636363636</v>
      </c>
      <c r="I158" s="5" t="n">
        <v>258.07</v>
      </c>
      <c r="J158" s="5" t="n">
        <v>96</v>
      </c>
      <c r="K158" s="5" t="n">
        <v>83.8</v>
      </c>
      <c r="L158" s="5" t="n">
        <v>77.3</v>
      </c>
      <c r="M158" s="5" t="n">
        <v>0.14</v>
      </c>
    </row>
    <row r="159">
      <c r="A159" s="3" t="n">
        <v>41306</v>
      </c>
      <c r="B159" s="4" t="inlineStr">
        <is>
          <t>2013m2</t>
        </is>
      </c>
      <c r="C159" s="5" t="n">
        <v>67.87552631578947</v>
      </c>
      <c r="D159" s="6" t="n">
        <v>19</v>
      </c>
      <c r="E159" s="5" t="n">
        <v>1083</v>
      </c>
      <c r="F159" s="5" t="n">
        <v>116.0505263157895</v>
      </c>
      <c r="G159" s="5" t="n">
        <v>68.3427202430511</v>
      </c>
      <c r="H159" s="5" t="n">
        <v>14.56210526315789</v>
      </c>
      <c r="I159" s="5" t="n">
        <v>268.01</v>
      </c>
      <c r="J159" s="5" t="n">
        <v>93.90000000000001</v>
      </c>
      <c r="K159" s="5" t="n">
        <v>83.8</v>
      </c>
      <c r="L159" s="5" t="n">
        <v>76.2</v>
      </c>
      <c r="M159" s="5" t="n">
        <v>0.15</v>
      </c>
    </row>
    <row r="160">
      <c r="A160" s="3" t="n">
        <v>41334</v>
      </c>
      <c r="B160" s="4" t="inlineStr">
        <is>
          <t>2013m3</t>
        </is>
      </c>
      <c r="C160" s="5" t="n">
        <v>67.87595</v>
      </c>
      <c r="D160" s="6" t="n">
        <v>20</v>
      </c>
      <c r="E160" s="5" t="n">
        <v>1111.1</v>
      </c>
      <c r="F160" s="5" t="n">
        <v>108.474</v>
      </c>
      <c r="G160" s="5" t="n">
        <v>76.5934405417038</v>
      </c>
      <c r="H160" s="5" t="n">
        <v>15.5245</v>
      </c>
      <c r="I160" s="5" t="n">
        <v>263.39</v>
      </c>
      <c r="J160" s="5" t="n">
        <v>93</v>
      </c>
      <c r="K160" s="5" t="n">
        <v>83.3</v>
      </c>
      <c r="L160" s="5" t="n">
        <v>77.2</v>
      </c>
      <c r="M160" s="5" t="n">
        <v>0.14</v>
      </c>
    </row>
    <row r="161">
      <c r="A161" s="3" t="n">
        <v>41365</v>
      </c>
      <c r="B161" s="4" t="inlineStr">
        <is>
          <t>2013m4</t>
        </is>
      </c>
      <c r="C161" s="5" t="n">
        <v>78.73055555555555</v>
      </c>
      <c r="D161" s="6" t="n">
        <v>18</v>
      </c>
      <c r="E161" s="5" t="n">
        <v>1101.2</v>
      </c>
      <c r="F161" s="5" t="n">
        <v>102.2481818181818</v>
      </c>
      <c r="G161" s="5" t="n">
        <v>74.2779188766638</v>
      </c>
      <c r="H161" s="5" t="n">
        <v>16.72272727272727</v>
      </c>
      <c r="I161" s="5" t="n">
        <v>255.72</v>
      </c>
      <c r="J161" s="5" t="n">
        <v>93.8</v>
      </c>
      <c r="K161" s="5" t="n">
        <v>83.3</v>
      </c>
      <c r="L161" s="5" t="n">
        <v>75.3</v>
      </c>
      <c r="M161" s="5" t="n">
        <v>0.15</v>
      </c>
    </row>
    <row r="162">
      <c r="A162" s="3" t="n">
        <v>41395</v>
      </c>
      <c r="B162" s="4" t="inlineStr">
        <is>
          <t>2013m5</t>
        </is>
      </c>
      <c r="C162" s="5" t="n">
        <v>70.06914285714285</v>
      </c>
      <c r="D162" s="6" t="n">
        <v>21</v>
      </c>
      <c r="E162" s="5" t="n">
        <v>1129.7</v>
      </c>
      <c r="F162" s="5" t="n">
        <v>102.5586363636364</v>
      </c>
      <c r="G162" s="5" t="n">
        <v>73.0893073684779</v>
      </c>
      <c r="H162" s="5" t="n">
        <v>14.32571428571428</v>
      </c>
      <c r="I162" s="5" t="n">
        <v>261.47</v>
      </c>
      <c r="J162" s="5" t="n">
        <v>93.3</v>
      </c>
      <c r="K162" s="5" t="n">
        <v>83.90000000000001</v>
      </c>
      <c r="L162" s="5" t="n">
        <v>76.40000000000001</v>
      </c>
      <c r="M162" s="5" t="n">
        <v>0.11</v>
      </c>
    </row>
    <row r="163">
      <c r="A163" s="3" t="n">
        <v>41426</v>
      </c>
      <c r="B163" s="4" t="inlineStr">
        <is>
          <t>2013m6</t>
        </is>
      </c>
      <c r="C163" s="5" t="n">
        <v>89.41976923076923</v>
      </c>
      <c r="D163" s="6" t="n">
        <v>13</v>
      </c>
      <c r="E163" s="5" t="n">
        <v>1142</v>
      </c>
      <c r="F163" s="5" t="n">
        <v>102.9195</v>
      </c>
      <c r="G163" s="5" t="n">
        <v>69.43652452136349</v>
      </c>
      <c r="H163" s="5" t="n">
        <v>16.85315789473684</v>
      </c>
      <c r="I163" s="5" t="n">
        <v>242.27</v>
      </c>
      <c r="J163" s="5" t="n">
        <v>93.3</v>
      </c>
      <c r="K163" s="5" t="n">
        <v>84.3</v>
      </c>
      <c r="L163" s="5" t="n">
        <v>77.3</v>
      </c>
      <c r="M163" s="5" t="n">
        <v>0.09</v>
      </c>
    </row>
    <row r="164">
      <c r="A164" s="3" t="n">
        <v>41456</v>
      </c>
      <c r="B164" s="4" t="inlineStr">
        <is>
          <t>2013m7</t>
        </is>
      </c>
      <c r="C164" s="5" t="n">
        <v>91.33066666666666</v>
      </c>
      <c r="D164" s="6" t="n">
        <v>3</v>
      </c>
      <c r="E164" s="5" t="n">
        <v>1123.5</v>
      </c>
      <c r="F164" s="5" t="n">
        <v>107.9331818181818</v>
      </c>
      <c r="G164" s="5" t="n">
        <v>72.5156153677065</v>
      </c>
      <c r="H164" s="5" t="n">
        <v>17.3604347826087</v>
      </c>
      <c r="I164" s="5" t="n">
        <v>247.99</v>
      </c>
      <c r="J164" s="5" t="n">
        <v>92.3</v>
      </c>
      <c r="K164" s="5" t="n">
        <v>85.09999999999999</v>
      </c>
      <c r="L164" s="5" t="n">
        <v>81.2</v>
      </c>
      <c r="M164" s="5" t="n">
        <v>0.09</v>
      </c>
    </row>
    <row r="165">
      <c r="A165" s="3" t="n">
        <v>41487</v>
      </c>
      <c r="B165" s="4" t="inlineStr">
        <is>
          <t>2013m8</t>
        </is>
      </c>
      <c r="C165" s="5" t="n">
        <v>82.875</v>
      </c>
      <c r="D165" s="6" t="n">
        <v>1</v>
      </c>
      <c r="E165" s="5" t="n">
        <v>1110</v>
      </c>
      <c r="F165" s="5" t="n">
        <v>111.2804545454545</v>
      </c>
      <c r="G165" s="5" t="n">
        <v>72.5942682960637</v>
      </c>
      <c r="H165" s="5" t="n">
        <v>15.07142857142857</v>
      </c>
      <c r="I165" s="5" t="n">
        <v>251.74</v>
      </c>
      <c r="J165" s="5" t="n">
        <v>93.59999999999999</v>
      </c>
      <c r="K165" s="5" t="n">
        <v>84.2</v>
      </c>
      <c r="L165" s="5" t="n">
        <v>83.3</v>
      </c>
      <c r="M165" s="5" t="n">
        <v>0.08</v>
      </c>
    </row>
    <row r="166">
      <c r="A166" s="3" t="n">
        <v>41518</v>
      </c>
      <c r="B166" s="4" t="inlineStr">
        <is>
          <t>2013m9</t>
        </is>
      </c>
      <c r="C166" s="5" t="n">
        <v>71.6789</v>
      </c>
      <c r="D166" s="6" t="n">
        <v>0</v>
      </c>
      <c r="E166" s="5" t="n">
        <v>1074.7</v>
      </c>
      <c r="F166" s="5" t="n">
        <v>111.5965</v>
      </c>
      <c r="G166" s="5" t="n">
        <v>72.4676564298816</v>
      </c>
      <c r="H166" s="5" t="n">
        <v>15.72555555555556</v>
      </c>
      <c r="I166" s="5" t="n">
        <v>260.91</v>
      </c>
      <c r="J166" s="5" t="n">
        <v>91.90000000000001</v>
      </c>
      <c r="K166" s="5" t="n">
        <v>83.8</v>
      </c>
      <c r="L166" s="5" t="n">
        <v>75</v>
      </c>
      <c r="M166" s="5" t="n">
        <v>0.08</v>
      </c>
    </row>
    <row r="167">
      <c r="A167" s="3" t="n">
        <v>41548</v>
      </c>
      <c r="B167" s="4" t="inlineStr">
        <is>
          <t>2013m10</t>
        </is>
      </c>
      <c r="C167" s="5" t="n">
        <v>60.4828</v>
      </c>
      <c r="D167" s="6" t="n">
        <v>5</v>
      </c>
      <c r="E167" s="5" t="n">
        <v>1060.7</v>
      </c>
      <c r="F167" s="5" t="n">
        <v>109.0765217391304</v>
      </c>
      <c r="G167" s="5" t="n">
        <v>72.1667063833176</v>
      </c>
      <c r="H167" s="5" t="n">
        <v>14.25333333333333</v>
      </c>
      <c r="I167" s="5" t="n">
        <v>266.91</v>
      </c>
      <c r="J167" s="5" t="n">
        <v>94.7</v>
      </c>
      <c r="K167" s="5" t="n">
        <v>84.3</v>
      </c>
      <c r="L167" s="5" t="n">
        <v>88</v>
      </c>
      <c r="M167" s="5" t="n">
        <v>0.09</v>
      </c>
    </row>
    <row r="168">
      <c r="A168" s="3" t="n">
        <v>41579</v>
      </c>
      <c r="B168" s="4" t="inlineStr">
        <is>
          <t>2013m11</t>
        </is>
      </c>
      <c r="C168" s="5" t="n">
        <v>59.41552380952381</v>
      </c>
      <c r="D168" s="6" t="n">
        <v>21</v>
      </c>
      <c r="E168" s="5" t="n">
        <v>1058.2</v>
      </c>
      <c r="F168" s="5" t="n">
        <v>107.792</v>
      </c>
      <c r="G168" s="5" t="n">
        <v>73.3007455542709</v>
      </c>
      <c r="H168" s="5" t="n">
        <v>14.11857142857143</v>
      </c>
      <c r="I168" s="5" t="n">
        <v>269.57</v>
      </c>
      <c r="J168" s="5" t="n">
        <v>94</v>
      </c>
      <c r="K168" s="5" t="n">
        <v>84.7</v>
      </c>
      <c r="L168" s="5" t="n">
        <v>81.5</v>
      </c>
      <c r="M168" s="5" t="n">
        <v>0.08</v>
      </c>
    </row>
    <row r="169">
      <c r="A169" s="3" t="n">
        <v>41609</v>
      </c>
      <c r="B169" s="4" t="inlineStr">
        <is>
          <t>2013m12</t>
        </is>
      </c>
      <c r="C169" s="5" t="n">
        <v>59.84566666666667</v>
      </c>
      <c r="D169" s="6" t="n">
        <v>21</v>
      </c>
      <c r="E169" s="5" t="n">
        <v>1055.4</v>
      </c>
      <c r="F169" s="5" t="n">
        <v>110.7566666666667</v>
      </c>
      <c r="G169" s="5" t="n">
        <v>72.3102302032998</v>
      </c>
      <c r="H169" s="5" t="n">
        <v>14.1935</v>
      </c>
      <c r="I169" s="5" t="n">
        <v>264.24</v>
      </c>
      <c r="J169" s="5" t="n">
        <v>95.2</v>
      </c>
      <c r="K169" s="5" t="n">
        <v>84.59999999999999</v>
      </c>
      <c r="L169" s="5" t="n">
        <v>80.7</v>
      </c>
      <c r="M169" s="5" t="n">
        <v>0.09</v>
      </c>
    </row>
    <row r="170">
      <c r="A170" s="3" t="n">
        <v>41640</v>
      </c>
      <c r="B170" s="4" t="inlineStr">
        <is>
          <t>2014m1</t>
        </is>
      </c>
      <c r="C170" s="5" t="n">
        <v>68.79330434782609</v>
      </c>
      <c r="D170" s="6" t="n">
        <v>23</v>
      </c>
      <c r="E170" s="5" t="n">
        <v>1070.4</v>
      </c>
      <c r="F170" s="5" t="n">
        <v>108.1177272727273</v>
      </c>
      <c r="G170" s="5" t="n">
        <v>77.933944320016</v>
      </c>
      <c r="H170" s="5" t="n">
        <v>13.6295</v>
      </c>
      <c r="I170" s="5" t="n">
        <v>252.89</v>
      </c>
      <c r="J170" s="5" t="n">
        <v>95.7</v>
      </c>
      <c r="K170" s="5" t="n">
        <v>87.40000000000001</v>
      </c>
      <c r="L170" s="5" t="n">
        <v>79.8</v>
      </c>
      <c r="M170" s="5" t="n">
        <v>0.07000000000000001</v>
      </c>
    </row>
    <row r="171">
      <c r="A171" s="3" t="n">
        <v>41671</v>
      </c>
      <c r="B171" s="4" t="inlineStr">
        <is>
          <t>2014m2</t>
        </is>
      </c>
      <c r="C171" s="5" t="n">
        <v>68.50735</v>
      </c>
      <c r="D171" s="6" t="n">
        <v>20</v>
      </c>
      <c r="E171" s="5" t="n">
        <v>1067.5</v>
      </c>
      <c r="F171" s="5" t="n">
        <v>108.9005263157895</v>
      </c>
      <c r="G171" s="5" t="n">
        <v>78.7204575355494</v>
      </c>
      <c r="H171" s="5" t="n">
        <v>14.8365</v>
      </c>
      <c r="I171" s="5" t="n">
        <v>258.41</v>
      </c>
      <c r="J171" s="5" t="n">
        <v>95.40000000000001</v>
      </c>
      <c r="K171" s="5" t="n">
        <v>84.8</v>
      </c>
      <c r="L171" s="5" t="n">
        <v>85.90000000000001</v>
      </c>
      <c r="M171" s="5" t="n">
        <v>0.07000000000000001</v>
      </c>
    </row>
    <row r="172">
      <c r="A172" s="3" t="n">
        <v>41699</v>
      </c>
      <c r="B172" s="4" t="inlineStr">
        <is>
          <t>2014m3</t>
        </is>
      </c>
      <c r="C172" s="5" t="n">
        <v>61.96895238095238</v>
      </c>
      <c r="D172" s="6" t="n">
        <v>21</v>
      </c>
      <c r="E172" s="5" t="n">
        <v>1064.7</v>
      </c>
      <c r="F172" s="5" t="n">
        <v>107.4809523809524</v>
      </c>
      <c r="G172" s="5" t="n">
        <v>71.6979066600662</v>
      </c>
      <c r="H172" s="5" t="n">
        <v>13.61047619047619</v>
      </c>
      <c r="I172" s="5" t="n">
        <v>258.11</v>
      </c>
      <c r="J172" s="5" t="n">
        <v>96</v>
      </c>
      <c r="K172" s="5" t="n">
        <v>85</v>
      </c>
      <c r="L172" s="5" t="n">
        <v>83.2</v>
      </c>
      <c r="M172" s="5" t="n">
        <v>0.08</v>
      </c>
    </row>
    <row r="173">
      <c r="A173" s="3" t="n">
        <v>41730</v>
      </c>
      <c r="B173" s="4" t="inlineStr">
        <is>
          <t>2014m4</t>
        </is>
      </c>
      <c r="C173" s="5" t="n">
        <v>61.52236363636364</v>
      </c>
      <c r="D173" s="6" t="n">
        <v>22</v>
      </c>
      <c r="E173" s="5" t="n">
        <v>1033.2</v>
      </c>
      <c r="F173" s="5" t="n">
        <v>107.7552380952381</v>
      </c>
      <c r="G173" s="5" t="n">
        <v>74.6763891861132</v>
      </c>
      <c r="H173" s="5" t="n">
        <v>12.35590909090909</v>
      </c>
      <c r="I173" s="5" t="n">
        <v>255.33</v>
      </c>
      <c r="J173" s="5" t="n">
        <v>96.40000000000001</v>
      </c>
      <c r="K173" s="5" t="n">
        <v>84</v>
      </c>
      <c r="L173" s="5" t="n">
        <v>84.59999999999999</v>
      </c>
      <c r="M173" s="5" t="n">
        <v>0.09</v>
      </c>
    </row>
    <row r="174">
      <c r="A174" s="3" t="n">
        <v>41760</v>
      </c>
      <c r="B174" s="4" t="inlineStr">
        <is>
          <t>2014m5</t>
        </is>
      </c>
      <c r="C174" s="5" t="n">
        <v>57.34086363636364</v>
      </c>
      <c r="D174" s="6" t="n">
        <v>22</v>
      </c>
      <c r="E174" s="5" t="n">
        <v>1020.1</v>
      </c>
      <c r="F174" s="5" t="n">
        <v>109.5390909090909</v>
      </c>
      <c r="G174" s="5" t="n">
        <v>72.88058403837449</v>
      </c>
      <c r="H174" s="5" t="n">
        <v>11.15368421052631</v>
      </c>
      <c r="I174" s="5" t="n">
        <v>259.94</v>
      </c>
      <c r="J174" s="5" t="n">
        <v>93.2</v>
      </c>
      <c r="K174" s="5" t="n">
        <v>85.3</v>
      </c>
      <c r="L174" s="5" t="n">
        <v>82.90000000000001</v>
      </c>
      <c r="M174" s="5" t="n">
        <v>0.09</v>
      </c>
    </row>
    <row r="175">
      <c r="A175" s="3" t="n">
        <v>41791</v>
      </c>
      <c r="B175" s="4" t="inlineStr">
        <is>
          <t>2014m6</t>
        </is>
      </c>
      <c r="C175" s="5" t="n">
        <v>52.13747619047619</v>
      </c>
      <c r="D175" s="6" t="n">
        <v>21</v>
      </c>
      <c r="E175" s="5" t="n">
        <v>1011.8</v>
      </c>
      <c r="F175" s="5" t="n">
        <v>111.7952380952381</v>
      </c>
      <c r="G175" s="5" t="n">
        <v>74.6371643046227</v>
      </c>
      <c r="H175" s="5" t="n">
        <v>11.29684210526316</v>
      </c>
      <c r="I175" s="5" t="n">
        <v>260.56</v>
      </c>
      <c r="J175" s="5" t="n">
        <v>95.59999999999999</v>
      </c>
      <c r="K175" s="5" t="n">
        <v>85.8</v>
      </c>
      <c r="L175" s="5" t="n">
        <v>79.3</v>
      </c>
      <c r="M175" s="5" t="n">
        <v>0.1</v>
      </c>
    </row>
    <row r="176">
      <c r="A176" s="3" t="n">
        <v>41821</v>
      </c>
      <c r="B176" s="4" t="inlineStr">
        <is>
          <t>2014m7</t>
        </is>
      </c>
      <c r="C176" s="5" t="n">
        <v>51.50608695652174</v>
      </c>
      <c r="D176" s="6" t="n">
        <v>23</v>
      </c>
      <c r="E176" s="5" t="n">
        <v>1027.9</v>
      </c>
      <c r="F176" s="5" t="n">
        <v>106.7681818181818</v>
      </c>
      <c r="G176" s="5" t="n">
        <v>72.7304558594284</v>
      </c>
      <c r="H176" s="5" t="n">
        <v>11.12826086956522</v>
      </c>
      <c r="I176" s="5" t="n">
        <v>269.68</v>
      </c>
      <c r="J176" s="5" t="n">
        <v>96.09999999999999</v>
      </c>
      <c r="K176" s="5" t="n">
        <v>86.2</v>
      </c>
      <c r="L176" s="5" t="n">
        <v>83.59999999999999</v>
      </c>
      <c r="M176" s="5" t="n">
        <v>0.09</v>
      </c>
    </row>
    <row r="177">
      <c r="A177" s="3" t="n">
        <v>41852</v>
      </c>
      <c r="B177" s="4" t="inlineStr">
        <is>
          <t>2014m8</t>
        </is>
      </c>
      <c r="C177" s="5" t="n">
        <v>53.80114285714286</v>
      </c>
      <c r="D177" s="6" t="n">
        <v>21</v>
      </c>
      <c r="E177" s="5" t="n">
        <v>1014</v>
      </c>
      <c r="F177" s="5" t="n">
        <v>101.6080952380952</v>
      </c>
      <c r="G177" s="5" t="n">
        <v>73.2095293054408</v>
      </c>
      <c r="H177" s="5" t="n">
        <v>11.958</v>
      </c>
      <c r="I177" s="5" t="n">
        <v>265.41</v>
      </c>
      <c r="J177" s="5" t="n">
        <v>92.5</v>
      </c>
      <c r="K177" s="5" t="n">
        <v>87</v>
      </c>
      <c r="L177" s="5" t="n">
        <v>76.09999999999999</v>
      </c>
      <c r="M177" s="5" t="n">
        <v>0.09</v>
      </c>
    </row>
    <row r="178">
      <c r="A178" s="3" t="n">
        <v>41883</v>
      </c>
      <c r="B178" s="4" t="inlineStr">
        <is>
          <t>2014m9</t>
        </is>
      </c>
      <c r="C178" s="5" t="n">
        <v>52.46986363636363</v>
      </c>
      <c r="D178" s="6" t="n">
        <v>22</v>
      </c>
      <c r="E178" s="5" t="n">
        <v>1055.2</v>
      </c>
      <c r="F178" s="5" t="n">
        <v>97.09142857142858</v>
      </c>
      <c r="G178" s="5" t="n">
        <v>76.6068562554956</v>
      </c>
      <c r="H178" s="5" t="n">
        <v>11.89526315789474</v>
      </c>
      <c r="I178" s="5" t="n">
        <v>256.77</v>
      </c>
      <c r="J178" s="5" t="n">
        <v>92.2</v>
      </c>
      <c r="K178" s="5" t="n">
        <v>85.09999999999999</v>
      </c>
      <c r="L178" s="5" t="n">
        <v>83.90000000000001</v>
      </c>
      <c r="M178" s="5" t="n">
        <v>0.09</v>
      </c>
    </row>
    <row r="179">
      <c r="A179" s="3" t="n">
        <v>41913</v>
      </c>
      <c r="B179" s="4" t="inlineStr">
        <is>
          <t>2014m10</t>
        </is>
      </c>
      <c r="C179" s="5" t="n">
        <v>56.1531052631579</v>
      </c>
      <c r="D179" s="6" t="n">
        <v>19</v>
      </c>
      <c r="E179" s="5" t="n">
        <v>1068.5</v>
      </c>
      <c r="F179" s="5" t="n">
        <v>87.47363636363637</v>
      </c>
      <c r="G179" s="5" t="n">
        <v>77.0608159134715</v>
      </c>
      <c r="H179" s="5" t="n">
        <v>14.82904761904762</v>
      </c>
      <c r="I179" s="5" t="n">
        <v>250.45</v>
      </c>
      <c r="J179" s="5" t="n">
        <v>91.90000000000001</v>
      </c>
      <c r="K179" s="5" t="n">
        <v>84.8</v>
      </c>
      <c r="L179" s="5" t="n">
        <v>79.90000000000001</v>
      </c>
      <c r="M179" s="5" t="n">
        <v>0.09</v>
      </c>
    </row>
    <row r="180">
      <c r="A180" s="3" t="n">
        <v>41944</v>
      </c>
      <c r="B180" s="4" t="inlineStr">
        <is>
          <t>2014m11</t>
        </is>
      </c>
      <c r="C180" s="5" t="n">
        <v>51.04484210526316</v>
      </c>
      <c r="D180" s="6" t="n">
        <v>19</v>
      </c>
      <c r="E180" s="5" t="n">
        <v>1107.9</v>
      </c>
      <c r="F180" s="5" t="n">
        <v>79.4378947368421</v>
      </c>
      <c r="G180" s="5" t="n">
        <v>72.89313175687811</v>
      </c>
      <c r="H180" s="5" t="n">
        <v>13.3185</v>
      </c>
      <c r="I180" s="5" t="n">
        <v>253.7</v>
      </c>
      <c r="J180" s="5" t="n">
        <v>92.5</v>
      </c>
      <c r="K180" s="5" t="n">
        <v>85.5</v>
      </c>
      <c r="L180" s="5" t="n">
        <v>91.2</v>
      </c>
      <c r="M180" s="5" t="n">
        <v>0.09</v>
      </c>
    </row>
    <row r="181">
      <c r="A181" s="3" t="n">
        <v>41974</v>
      </c>
      <c r="B181" s="4" t="inlineStr">
        <is>
          <t>2014m12</t>
        </is>
      </c>
      <c r="C181" s="5" t="n">
        <v>51.00961538461539</v>
      </c>
      <c r="D181" s="6" t="n">
        <v>13</v>
      </c>
      <c r="E181" s="5" t="n">
        <v>1099.3</v>
      </c>
      <c r="F181" s="5" t="n">
        <v>62.33500000000001</v>
      </c>
      <c r="G181" s="5" t="n">
        <v>74.4108129334172</v>
      </c>
      <c r="H181" s="5" t="n">
        <v>13.14428571428572</v>
      </c>
      <c r="I181" s="5" t="n">
        <v>244.05</v>
      </c>
      <c r="J181" s="5" t="n">
        <v>94.90000000000001</v>
      </c>
      <c r="K181" s="5" t="n">
        <v>88.7</v>
      </c>
      <c r="L181" s="5" t="n">
        <v>90.8</v>
      </c>
      <c r="M181" s="5" t="n">
        <v>0.12</v>
      </c>
    </row>
    <row r="182">
      <c r="A182" s="3" t="n">
        <v>42005</v>
      </c>
      <c r="B182" s="4" t="inlineStr">
        <is>
          <t>2015m1</t>
        </is>
      </c>
      <c r="C182" s="5" t="n">
        <v>62.07795</v>
      </c>
      <c r="D182" s="6" t="n">
        <v>20</v>
      </c>
      <c r="E182" s="5" t="n">
        <v>1093.5</v>
      </c>
      <c r="F182" s="5" t="n">
        <v>47.7595</v>
      </c>
      <c r="G182" s="5" t="n">
        <v>70.0314462038839</v>
      </c>
      <c r="H182" s="5" t="n">
        <v>13.54428571428572</v>
      </c>
      <c r="I182" s="5" t="n">
        <v>249.88</v>
      </c>
      <c r="J182" s="5" t="n">
        <v>93.09999999999999</v>
      </c>
      <c r="K182" s="5" t="n">
        <v>86.40000000000001</v>
      </c>
      <c r="L182" s="5" t="n">
        <v>87.90000000000001</v>
      </c>
      <c r="M182" s="5" t="n">
        <v>0.11</v>
      </c>
    </row>
    <row r="183">
      <c r="A183" s="3" t="n">
        <v>42036</v>
      </c>
      <c r="B183" s="4" t="inlineStr">
        <is>
          <t>2015m2</t>
        </is>
      </c>
      <c r="C183" s="5" t="n">
        <v>60.66799999999999</v>
      </c>
      <c r="D183" s="6" t="n">
        <v>18</v>
      </c>
      <c r="E183" s="5" t="n">
        <v>1098.4</v>
      </c>
      <c r="F183" s="5" t="n">
        <v>58.0955</v>
      </c>
      <c r="G183" s="5" t="n">
        <v>71.340206064998</v>
      </c>
      <c r="H183" s="5" t="n">
        <v>12.44588235294118</v>
      </c>
      <c r="I183" s="5" t="n">
        <v>251.46</v>
      </c>
      <c r="J183" s="5" t="n">
        <v>94.2</v>
      </c>
      <c r="K183" s="5" t="n">
        <v>89.3</v>
      </c>
      <c r="L183" s="5" t="n">
        <v>91.59999999999999</v>
      </c>
      <c r="M183" s="5" t="n">
        <v>0.11</v>
      </c>
    </row>
    <row r="184">
      <c r="A184" s="3" t="n">
        <v>42064</v>
      </c>
      <c r="B184" s="4" t="inlineStr">
        <is>
          <t>2015m3</t>
        </is>
      </c>
      <c r="C184" s="5" t="n">
        <v>53.56773684210526</v>
      </c>
      <c r="D184" s="6" t="n">
        <v>19</v>
      </c>
      <c r="E184" s="5" t="n">
        <v>1109.5</v>
      </c>
      <c r="F184" s="5" t="n">
        <v>55.88545454545454</v>
      </c>
      <c r="G184" s="5" t="n">
        <v>69.3444764859244</v>
      </c>
      <c r="H184" s="5" t="n">
        <v>11.49545454545455</v>
      </c>
      <c r="I184" s="5" t="n">
        <v>257.28</v>
      </c>
      <c r="J184" s="5" t="n">
        <v>93.40000000000001</v>
      </c>
      <c r="K184" s="5" t="n">
        <v>87.40000000000001</v>
      </c>
      <c r="L184" s="5" t="n">
        <v>89.5</v>
      </c>
      <c r="M184" s="5" t="n">
        <v>0.11</v>
      </c>
    </row>
    <row r="185">
      <c r="A185" s="3" t="n">
        <v>42095</v>
      </c>
      <c r="B185" s="4" t="inlineStr">
        <is>
          <t>2015m4</t>
        </is>
      </c>
      <c r="C185" s="5" t="n">
        <v>49.64775</v>
      </c>
      <c r="D185" s="6" t="n">
        <v>20</v>
      </c>
      <c r="E185" s="5" t="n">
        <v>1072.4</v>
      </c>
      <c r="F185" s="5" t="n">
        <v>59.52428571428571</v>
      </c>
      <c r="G185" s="5" t="n">
        <v>72.5246406696387</v>
      </c>
      <c r="H185" s="5" t="n">
        <v>11.97681818181818</v>
      </c>
      <c r="I185" s="5" t="n">
        <v>266.42</v>
      </c>
      <c r="J185" s="5" t="n">
        <v>94.3</v>
      </c>
      <c r="K185" s="5" t="n">
        <v>88.5</v>
      </c>
      <c r="L185" s="5" t="n">
        <v>87.2</v>
      </c>
      <c r="M185" s="5" t="n">
        <v>0.12</v>
      </c>
    </row>
    <row r="186">
      <c r="A186" s="3" t="n">
        <v>42125</v>
      </c>
      <c r="B186" s="4" t="inlineStr">
        <is>
          <t>2015m5</t>
        </is>
      </c>
      <c r="C186" s="5" t="n">
        <v>46.740625</v>
      </c>
      <c r="D186" s="6" t="n">
        <v>16</v>
      </c>
      <c r="E186" s="5" t="n">
        <v>1108.2</v>
      </c>
      <c r="F186" s="5" t="n">
        <v>64.075</v>
      </c>
      <c r="G186" s="5" t="n">
        <v>70.24514024500461</v>
      </c>
      <c r="H186" s="5" t="n">
        <v>12.295</v>
      </c>
      <c r="I186" s="5" t="n">
        <v>260.39</v>
      </c>
      <c r="J186" s="5" t="n">
        <v>91.90000000000001</v>
      </c>
      <c r="K186" s="5" t="n">
        <v>88.5</v>
      </c>
      <c r="L186" s="5" t="n">
        <v>84.09999999999999</v>
      </c>
      <c r="M186" s="5" t="n">
        <v>0.12</v>
      </c>
    </row>
    <row r="187">
      <c r="A187" s="3" t="n">
        <v>42156</v>
      </c>
      <c r="B187" s="4" t="inlineStr">
        <is>
          <t>2015m6</t>
        </is>
      </c>
      <c r="C187" s="5" t="n">
        <v>49.05052941176471</v>
      </c>
      <c r="D187" s="6" t="n">
        <v>17</v>
      </c>
      <c r="E187" s="5" t="n">
        <v>1115.5</v>
      </c>
      <c r="F187" s="5" t="n">
        <v>61.47772727272727</v>
      </c>
      <c r="G187" s="5" t="n">
        <v>74.0829308867106</v>
      </c>
      <c r="H187" s="5" t="n">
        <v>13.99136363636364</v>
      </c>
      <c r="I187" s="5" t="n">
        <v>252.27</v>
      </c>
      <c r="J187" s="5" t="n">
        <v>93.59999999999999</v>
      </c>
      <c r="K187" s="5" t="n">
        <v>85.90000000000001</v>
      </c>
      <c r="L187" s="5" t="n">
        <v>87.40000000000001</v>
      </c>
      <c r="M187" s="5" t="n">
        <v>0.13</v>
      </c>
    </row>
    <row r="188">
      <c r="A188" s="3" t="n">
        <v>42186</v>
      </c>
      <c r="B188" s="4" t="inlineStr">
        <is>
          <t>2015m7</t>
        </is>
      </c>
      <c r="C188" s="5" t="n">
        <v>52.36309090909091</v>
      </c>
      <c r="D188" s="6" t="n">
        <v>22</v>
      </c>
      <c r="E188" s="5" t="n">
        <v>1170</v>
      </c>
      <c r="F188" s="5" t="n">
        <v>56.56130434782609</v>
      </c>
      <c r="G188" s="5" t="n">
        <v>74.2379540405441</v>
      </c>
      <c r="H188" s="5" t="n">
        <v>13.89608695652174</v>
      </c>
      <c r="I188" s="5" t="n">
        <v>244.3</v>
      </c>
      <c r="J188" s="5" t="n">
        <v>92.59999999999999</v>
      </c>
      <c r="K188" s="5" t="n">
        <v>87.3</v>
      </c>
      <c r="L188" s="5" t="n">
        <v>90.40000000000001</v>
      </c>
      <c r="M188" s="5" t="n">
        <v>0.13</v>
      </c>
    </row>
    <row r="189">
      <c r="A189" s="3" t="n">
        <v>42217</v>
      </c>
      <c r="B189" s="4" t="inlineStr">
        <is>
          <t>2015m8</t>
        </is>
      </c>
      <c r="C189" s="5" t="n">
        <v>63.08255</v>
      </c>
      <c r="D189" s="6" t="n">
        <v>20</v>
      </c>
      <c r="E189" s="5" t="n">
        <v>1182.5</v>
      </c>
      <c r="F189" s="5" t="n">
        <v>46.515</v>
      </c>
      <c r="G189" s="5" t="n">
        <v>75.18715021265081</v>
      </c>
      <c r="H189" s="5" t="n">
        <v>16.901</v>
      </c>
      <c r="I189" s="5" t="n">
        <v>232.8</v>
      </c>
      <c r="J189" s="5" t="n">
        <v>94.90000000000001</v>
      </c>
      <c r="K189" s="5" t="n">
        <v>87.90000000000001</v>
      </c>
      <c r="L189" s="5" t="n">
        <v>90</v>
      </c>
      <c r="M189" s="5" t="n">
        <v>0.14</v>
      </c>
    </row>
    <row r="190">
      <c r="A190" s="3" t="n">
        <v>42248</v>
      </c>
      <c r="B190" s="4" t="inlineStr">
        <is>
          <t>2015m9</t>
        </is>
      </c>
      <c r="C190" s="5" t="n">
        <v>69.8547619047619</v>
      </c>
      <c r="D190" s="6" t="n">
        <v>21</v>
      </c>
      <c r="E190" s="5" t="n">
        <v>1185.3</v>
      </c>
      <c r="F190" s="5" t="n">
        <v>47.62318181818182</v>
      </c>
      <c r="G190" s="5" t="n">
        <v>73.2058348357839</v>
      </c>
      <c r="H190" s="5" t="n">
        <v>20.6315</v>
      </c>
      <c r="I190" s="5" t="n">
        <v>236.71</v>
      </c>
      <c r="J190" s="5" t="n">
        <v>96</v>
      </c>
      <c r="K190" s="5" t="n">
        <v>89.3</v>
      </c>
      <c r="L190" s="5" t="n">
        <v>90.7</v>
      </c>
      <c r="M190" s="5" t="n">
        <v>0.14</v>
      </c>
    </row>
    <row r="191">
      <c r="A191" s="3" t="n">
        <v>42278</v>
      </c>
      <c r="B191" s="4" t="inlineStr">
        <is>
          <t>2015m10</t>
        </is>
      </c>
      <c r="C191" s="5" t="n">
        <v>66.63613636363635</v>
      </c>
      <c r="D191" s="6" t="n">
        <v>22</v>
      </c>
      <c r="E191" s="5" t="n">
        <v>1140.1</v>
      </c>
      <c r="F191" s="5" t="n">
        <v>48.43</v>
      </c>
      <c r="G191" s="5" t="n">
        <v>73.6719650860999</v>
      </c>
      <c r="H191" s="5" t="n">
        <v>15.74809523809524</v>
      </c>
      <c r="I191" s="5" t="n">
        <v>249.41</v>
      </c>
      <c r="J191" s="5" t="n">
        <v>95.09999999999999</v>
      </c>
      <c r="K191" s="5" t="n">
        <v>91.59999999999999</v>
      </c>
      <c r="L191" s="5" t="n">
        <v>92.40000000000001</v>
      </c>
      <c r="M191" s="5" t="n">
        <v>0.12</v>
      </c>
    </row>
    <row r="192">
      <c r="A192" s="3" t="n">
        <v>42309</v>
      </c>
      <c r="B192" s="4" t="inlineStr">
        <is>
          <t>2015m11</t>
        </is>
      </c>
      <c r="C192" s="5" t="n">
        <v>57.3271875</v>
      </c>
      <c r="D192" s="6" t="n">
        <v>16</v>
      </c>
      <c r="E192" s="5" t="n">
        <v>1158.1</v>
      </c>
      <c r="F192" s="5" t="n">
        <v>44.26761904761905</v>
      </c>
      <c r="G192" s="5" t="n">
        <v>75.9489620789135</v>
      </c>
      <c r="H192" s="5" t="n">
        <v>14.05571428571429</v>
      </c>
      <c r="I192" s="5" t="n">
        <v>244.24</v>
      </c>
      <c r="J192" s="5" t="n">
        <v>94.59999999999999</v>
      </c>
      <c r="K192" s="5" t="n">
        <v>90.2</v>
      </c>
      <c r="L192" s="5" t="n">
        <v>88.09999999999999</v>
      </c>
      <c r="M192" s="5" t="n">
        <v>0.12</v>
      </c>
    </row>
    <row r="193">
      <c r="A193" s="3" t="n">
        <v>42339</v>
      </c>
      <c r="B193" s="4" t="inlineStr">
        <is>
          <t>2015m12</t>
        </is>
      </c>
      <c r="C193" s="5" t="n">
        <v>55.59188235294118</v>
      </c>
      <c r="D193" s="6" t="n">
        <v>17</v>
      </c>
      <c r="E193" s="5" t="n">
        <v>1172.5</v>
      </c>
      <c r="F193" s="5" t="n">
        <v>38.00545454545455</v>
      </c>
      <c r="G193" s="5" t="n">
        <v>81.12725566827299</v>
      </c>
      <c r="H193" s="5" t="n">
        <v>14.96571428571429</v>
      </c>
      <c r="I193" s="5" t="n">
        <v>240.38</v>
      </c>
      <c r="J193" s="5" t="n">
        <v>93.7</v>
      </c>
      <c r="K193" s="5" t="n">
        <v>91.59999999999999</v>
      </c>
      <c r="L193" s="5" t="n">
        <v>89.59999999999999</v>
      </c>
      <c r="M193" s="5" t="n">
        <v>0.24</v>
      </c>
    </row>
    <row r="194">
      <c r="A194" s="3" t="n">
        <v>42370</v>
      </c>
      <c r="B194" s="4" t="inlineStr">
        <is>
          <t>2016m1</t>
        </is>
      </c>
      <c r="C194" s="5" t="n">
        <v>65.6956</v>
      </c>
      <c r="D194" s="6" t="n">
        <v>20</v>
      </c>
      <c r="E194" s="5" t="n">
        <v>1199.1</v>
      </c>
      <c r="F194" s="5" t="n">
        <v>30.6995</v>
      </c>
      <c r="G194" s="5" t="n">
        <v>70.2782181383463</v>
      </c>
      <c r="H194" s="5" t="n">
        <v>19.4525</v>
      </c>
      <c r="I194" s="5" t="n">
        <v>232.1</v>
      </c>
      <c r="J194" s="5" t="n">
        <v>93.90000000000001</v>
      </c>
      <c r="K194" s="5" t="n">
        <v>91.59999999999999</v>
      </c>
      <c r="L194" s="5" t="n">
        <v>84.09999999999999</v>
      </c>
      <c r="M194" s="5" t="n">
        <v>0.34</v>
      </c>
    </row>
    <row r="195">
      <c r="A195" s="3" t="n">
        <v>42401</v>
      </c>
      <c r="B195" s="4" t="inlineStr">
        <is>
          <t>2016m2</t>
        </is>
      </c>
      <c r="C195" s="5" t="n">
        <v>70.75441176470588</v>
      </c>
      <c r="D195" s="6" t="n">
        <v>17</v>
      </c>
      <c r="E195" s="5" t="n">
        <v>1236.7</v>
      </c>
      <c r="F195" s="5" t="n">
        <v>32.1815</v>
      </c>
      <c r="G195" s="5" t="n">
        <v>68.9685729488245</v>
      </c>
      <c r="H195" s="5" t="n">
        <v>18.29333333333333</v>
      </c>
      <c r="I195" s="5" t="n">
        <v>234.63</v>
      </c>
      <c r="J195" s="5" t="n">
        <v>94.8</v>
      </c>
      <c r="K195" s="5" t="n">
        <v>90</v>
      </c>
      <c r="L195" s="5" t="n">
        <v>85.90000000000001</v>
      </c>
      <c r="M195" s="5" t="n">
        <v>0.38</v>
      </c>
    </row>
    <row r="196">
      <c r="A196" s="3" t="n">
        <v>42430</v>
      </c>
      <c r="B196" s="4" t="inlineStr">
        <is>
          <t>2016m3</t>
        </is>
      </c>
      <c r="C196" s="5" t="n">
        <v>62.94177272727273</v>
      </c>
      <c r="D196" s="6" t="n">
        <v>22</v>
      </c>
      <c r="E196" s="5" t="n">
        <v>1143.5</v>
      </c>
      <c r="F196" s="5" t="n">
        <v>38.21045454545455</v>
      </c>
      <c r="G196" s="5" t="n">
        <v>74.16099163808509</v>
      </c>
      <c r="H196" s="5" t="n">
        <v>13.38681818181818</v>
      </c>
      <c r="I196" s="5" t="n">
        <v>245.86</v>
      </c>
      <c r="J196" s="5" t="n">
        <v>95.7</v>
      </c>
      <c r="K196" s="5" t="n">
        <v>91.90000000000001</v>
      </c>
      <c r="L196" s="5" t="n">
        <v>86.8</v>
      </c>
      <c r="M196" s="5" t="n">
        <v>0.36</v>
      </c>
    </row>
    <row r="197">
      <c r="A197" s="3" t="n">
        <v>42461</v>
      </c>
      <c r="B197" s="4" t="inlineStr">
        <is>
          <t>2016m4</t>
        </is>
      </c>
      <c r="C197" s="5" t="n">
        <v>64.90683333333334</v>
      </c>
      <c r="D197" s="6" t="n">
        <v>12</v>
      </c>
      <c r="E197" s="5" t="n">
        <v>1139.3</v>
      </c>
      <c r="F197" s="5" t="n">
        <v>41.58333333333334</v>
      </c>
      <c r="G197" s="5" t="n">
        <v>73.63243035721931</v>
      </c>
      <c r="H197" s="5" t="n">
        <v>12.8175</v>
      </c>
      <c r="I197" s="5" t="n">
        <v>245.2</v>
      </c>
      <c r="J197" s="5" t="n">
        <v>94.3</v>
      </c>
      <c r="K197" s="5" t="n">
        <v>91.5</v>
      </c>
      <c r="L197" s="5" t="n">
        <v>86.90000000000001</v>
      </c>
      <c r="M197" s="5" t="n">
        <v>0.37</v>
      </c>
    </row>
    <row r="198">
      <c r="A198" s="3" t="n">
        <v>42491</v>
      </c>
      <c r="B198" s="4" t="inlineStr">
        <is>
          <t>2016m5</t>
        </is>
      </c>
      <c r="C198" s="5" t="n">
        <v>62.35938095238095</v>
      </c>
      <c r="D198" s="6" t="n">
        <v>21</v>
      </c>
      <c r="E198" s="5" t="n">
        <v>1191.7</v>
      </c>
      <c r="F198" s="5" t="n">
        <v>46.74238095238096</v>
      </c>
      <c r="G198" s="5" t="n">
        <v>76.7183986240637</v>
      </c>
      <c r="H198" s="5" t="n">
        <v>12.225</v>
      </c>
      <c r="I198" s="5" t="n">
        <v>243.63</v>
      </c>
      <c r="J198" s="5" t="n">
        <v>96.90000000000001</v>
      </c>
      <c r="K198" s="5" t="n">
        <v>92.7</v>
      </c>
      <c r="L198" s="5" t="n">
        <v>89.09999999999999</v>
      </c>
      <c r="M198" s="5" t="n">
        <v>0.37</v>
      </c>
    </row>
    <row r="199">
      <c r="A199" s="3" t="n">
        <v>42522</v>
      </c>
      <c r="B199" s="4" t="inlineStr">
        <is>
          <t>2016m6</t>
        </is>
      </c>
      <c r="C199" s="5" t="n">
        <v>59.47990909090909</v>
      </c>
      <c r="D199" s="6" t="n">
        <v>22</v>
      </c>
      <c r="E199" s="5" t="n">
        <v>1151.8</v>
      </c>
      <c r="F199" s="5" t="n">
        <v>48.24727272727273</v>
      </c>
      <c r="G199" s="5" t="n">
        <v>75.3769718408672</v>
      </c>
      <c r="H199" s="5" t="n">
        <v>15.30571428571429</v>
      </c>
      <c r="I199" s="5" t="n">
        <v>244.14</v>
      </c>
      <c r="J199" s="5" t="n">
        <v>96.59999999999999</v>
      </c>
      <c r="K199" s="5" t="n">
        <v>93.40000000000001</v>
      </c>
      <c r="L199" s="5" t="n">
        <v>93</v>
      </c>
      <c r="M199" s="5" t="n">
        <v>0.38</v>
      </c>
    </row>
    <row r="200">
      <c r="A200" s="3" t="n">
        <v>42552</v>
      </c>
      <c r="B200" s="4" t="inlineStr">
        <is>
          <t>2016m7</t>
        </is>
      </c>
      <c r="C200" s="5" t="n">
        <v>50.62728571428571</v>
      </c>
      <c r="D200" s="6" t="n">
        <v>21</v>
      </c>
      <c r="E200" s="5" t="n">
        <v>1120.2</v>
      </c>
      <c r="F200" s="5" t="n">
        <v>44.95190476190476</v>
      </c>
      <c r="G200" s="5" t="n">
        <v>76.41047150787141</v>
      </c>
      <c r="H200" s="5" t="n">
        <v>13.37857142857143</v>
      </c>
      <c r="I200" s="5" t="n">
        <v>251.48</v>
      </c>
      <c r="J200" s="5" t="n">
        <v>95.90000000000001</v>
      </c>
      <c r="K200" s="5" t="n">
        <v>91</v>
      </c>
      <c r="L200" s="5" t="n">
        <v>87</v>
      </c>
      <c r="M200" s="5" t="n">
        <v>0.39</v>
      </c>
    </row>
    <row r="201">
      <c r="A201" s="3" t="n">
        <v>42583</v>
      </c>
      <c r="B201" s="4" t="inlineStr">
        <is>
          <t>2016m8</t>
        </is>
      </c>
      <c r="C201" s="5" t="n">
        <v>45.24926086956521</v>
      </c>
      <c r="D201" s="6" t="n">
        <v>23</v>
      </c>
      <c r="E201" s="5" t="n">
        <v>1114.8</v>
      </c>
      <c r="F201" s="5" t="n">
        <v>45.84304347826087</v>
      </c>
      <c r="G201" s="5" t="n">
        <v>76.0846836337691</v>
      </c>
      <c r="H201" s="5" t="n">
        <v>11.99363636363636</v>
      </c>
      <c r="I201" s="5" t="n">
        <v>256.87</v>
      </c>
      <c r="J201" s="5" t="n">
        <v>95</v>
      </c>
      <c r="K201" s="5" t="n">
        <v>92.40000000000001</v>
      </c>
      <c r="L201" s="5" t="n">
        <v>93.90000000000001</v>
      </c>
      <c r="M201" s="5" t="n">
        <v>0.4</v>
      </c>
    </row>
    <row r="202">
      <c r="A202" s="3" t="n">
        <v>42614</v>
      </c>
      <c r="B202" s="4" t="inlineStr">
        <is>
          <t>2016m9</t>
        </is>
      </c>
      <c r="C202" s="5" t="n">
        <v>41.33759090909091</v>
      </c>
      <c r="D202" s="6" t="n">
        <v>22</v>
      </c>
      <c r="E202" s="5" t="n">
        <v>1101.3</v>
      </c>
      <c r="F202" s="5" t="n">
        <v>46.56772727272728</v>
      </c>
      <c r="G202" s="5" t="n">
        <v>76.3765015915031</v>
      </c>
      <c r="H202" s="5" t="n">
        <v>12.74736842105263</v>
      </c>
      <c r="I202" s="5" t="n">
        <v>257.49</v>
      </c>
      <c r="J202" s="5" t="n">
        <v>95.09999999999999</v>
      </c>
      <c r="K202" s="5" t="n">
        <v>90</v>
      </c>
      <c r="L202" s="5" t="n">
        <v>90.3</v>
      </c>
      <c r="M202" s="5" t="n">
        <v>0.4</v>
      </c>
    </row>
    <row r="203">
      <c r="A203" s="3" t="n">
        <v>42644</v>
      </c>
      <c r="B203" s="4" t="inlineStr">
        <is>
          <t>2016m10</t>
        </is>
      </c>
      <c r="C203" s="5" t="n">
        <v>40.9736</v>
      </c>
      <c r="D203" s="6" t="n">
        <v>20</v>
      </c>
      <c r="E203" s="5" t="n">
        <v>1144.5</v>
      </c>
      <c r="F203" s="5" t="n">
        <v>49.52238095238096</v>
      </c>
      <c r="G203" s="5" t="n">
        <v>78.3437298602645</v>
      </c>
      <c r="H203" s="5" t="n">
        <v>13.9125</v>
      </c>
      <c r="I203" s="5" t="n">
        <v>255.93</v>
      </c>
      <c r="J203" s="5" t="n">
        <v>94</v>
      </c>
      <c r="K203" s="5" t="n">
        <v>92.90000000000001</v>
      </c>
      <c r="L203" s="5" t="n">
        <v>90.90000000000001</v>
      </c>
      <c r="M203" s="5" t="n">
        <v>0.4</v>
      </c>
    </row>
    <row r="204">
      <c r="A204" s="3" t="n">
        <v>42675</v>
      </c>
      <c r="B204" s="4" t="inlineStr">
        <is>
          <t>2016m11</t>
        </is>
      </c>
      <c r="C204" s="5" t="n">
        <v>48.88422727272727</v>
      </c>
      <c r="D204" s="6" t="n">
        <v>22</v>
      </c>
      <c r="E204" s="5" t="n">
        <v>1169.1</v>
      </c>
      <c r="F204" s="5" t="n">
        <v>44.73409090909091</v>
      </c>
      <c r="G204" s="5" t="n">
        <v>80.4424726921511</v>
      </c>
      <c r="H204" s="5" t="n">
        <v>14.92090909090909</v>
      </c>
      <c r="I204" s="5" t="n">
        <v>254.26</v>
      </c>
      <c r="J204" s="5" t="n">
        <v>98.8</v>
      </c>
      <c r="K204" s="5" t="n">
        <v>92.59999999999999</v>
      </c>
      <c r="L204" s="5" t="n">
        <v>97.09999999999999</v>
      </c>
      <c r="M204" s="5" t="n">
        <v>0.41</v>
      </c>
    </row>
    <row r="205">
      <c r="A205" s="3" t="n">
        <v>42705</v>
      </c>
      <c r="B205" s="4" t="inlineStr">
        <is>
          <t>2016m12</t>
        </is>
      </c>
      <c r="C205" s="5" t="n">
        <v>43.93835294117647</v>
      </c>
      <c r="D205" s="6" t="n">
        <v>17</v>
      </c>
      <c r="E205" s="5" t="n">
        <v>1207.7</v>
      </c>
      <c r="F205" s="5" t="n">
        <v>53.3085</v>
      </c>
      <c r="G205" s="5" t="n">
        <v>86.0525419001966</v>
      </c>
      <c r="H205" s="5" t="n">
        <v>11.6552380952381</v>
      </c>
      <c r="I205" s="5" t="n">
        <v>260.01</v>
      </c>
      <c r="J205" s="5" t="n">
        <v>97.59999999999999</v>
      </c>
      <c r="K205" s="5" t="n">
        <v>93.7</v>
      </c>
      <c r="L205" s="5" t="n">
        <v>97.7</v>
      </c>
      <c r="M205" s="5" t="n">
        <v>0.54</v>
      </c>
    </row>
    <row r="206">
      <c r="A206" s="3" t="n">
        <v>42736</v>
      </c>
      <c r="B206" s="4" t="inlineStr">
        <is>
          <t>2017m1</t>
        </is>
      </c>
      <c r="C206" s="5" t="n">
        <v>46.69985</v>
      </c>
      <c r="D206" s="6" t="n">
        <v>20</v>
      </c>
      <c r="E206" s="5" t="n">
        <v>1162.1</v>
      </c>
      <c r="F206" s="5" t="n">
        <v>54.57666666666666</v>
      </c>
      <c r="G206" s="5" t="n">
        <v>83.3199117816109</v>
      </c>
      <c r="H206" s="5" t="n">
        <v>11.76</v>
      </c>
      <c r="I206" s="5" t="n">
        <v>268.09</v>
      </c>
      <c r="J206" s="5" t="n">
        <v>99.90000000000001</v>
      </c>
      <c r="K206" s="5" t="n">
        <v>92.5</v>
      </c>
      <c r="L206" s="5" t="n">
        <v>98.09999999999999</v>
      </c>
      <c r="M206" s="5" t="n">
        <v>0.65</v>
      </c>
    </row>
    <row r="207">
      <c r="A207" s="3" t="n">
        <v>42767</v>
      </c>
      <c r="B207" s="4" t="inlineStr">
        <is>
          <t>2017m2</t>
        </is>
      </c>
      <c r="C207" s="5" t="n">
        <v>45.57895</v>
      </c>
      <c r="D207" s="6" t="n">
        <v>20</v>
      </c>
      <c r="E207" s="5" t="n">
        <v>1130.7</v>
      </c>
      <c r="F207" s="5" t="n">
        <v>54.8695</v>
      </c>
      <c r="G207" s="5" t="n">
        <v>81.2501327232326</v>
      </c>
      <c r="H207" s="5" t="n">
        <v>10.7485</v>
      </c>
      <c r="I207" s="5" t="n">
        <v>270.06</v>
      </c>
      <c r="J207" s="5" t="n">
        <v>98.90000000000001</v>
      </c>
      <c r="K207" s="5" t="n">
        <v>94</v>
      </c>
      <c r="L207" s="5" t="n">
        <v>97.59999999999999</v>
      </c>
      <c r="M207" s="5" t="n">
        <v>0.66</v>
      </c>
    </row>
    <row r="208">
      <c r="A208" s="3" t="n">
        <v>42795</v>
      </c>
      <c r="B208" s="4" t="inlineStr">
        <is>
          <t>2017m3</t>
        </is>
      </c>
      <c r="C208" s="5" t="n">
        <v>47.38517391304347</v>
      </c>
      <c r="D208" s="6" t="n">
        <v>23</v>
      </c>
      <c r="E208" s="5" t="n">
        <v>1118.4</v>
      </c>
      <c r="F208" s="5" t="n">
        <v>51.5891304347826</v>
      </c>
      <c r="G208" s="5" t="n">
        <v>82.0728531773173</v>
      </c>
      <c r="H208" s="5" t="n">
        <v>11.605</v>
      </c>
      <c r="I208" s="5" t="n">
        <v>280.64</v>
      </c>
      <c r="J208" s="5" t="n">
        <v>100.5</v>
      </c>
      <c r="K208" s="5" t="n">
        <v>92.59999999999999</v>
      </c>
      <c r="L208" s="5" t="n">
        <v>104.7</v>
      </c>
      <c r="M208" s="5" t="n">
        <v>0.79</v>
      </c>
    </row>
    <row r="209">
      <c r="A209" s="3" t="n">
        <v>42826</v>
      </c>
      <c r="B209" s="4" t="inlineStr">
        <is>
          <t>2017m4</t>
        </is>
      </c>
      <c r="C209" s="5" t="n">
        <v>55.307</v>
      </c>
      <c r="D209" s="6" t="n">
        <v>19</v>
      </c>
      <c r="E209" s="5" t="n">
        <v>1137.9</v>
      </c>
      <c r="F209" s="5" t="n">
        <v>52.30789473684211</v>
      </c>
      <c r="G209" s="5" t="n">
        <v>78.7619229658371</v>
      </c>
      <c r="H209" s="5" t="n">
        <v>13.447</v>
      </c>
      <c r="I209" s="5" t="n">
        <v>287.21</v>
      </c>
      <c r="J209" s="5" t="n">
        <v>98.59999999999999</v>
      </c>
      <c r="K209" s="5" t="n">
        <v>93.2</v>
      </c>
      <c r="L209" s="5" t="n">
        <v>102</v>
      </c>
      <c r="M209" s="5" t="n">
        <v>0.9</v>
      </c>
    </row>
    <row r="210">
      <c r="A210" s="3" t="n">
        <v>42856</v>
      </c>
      <c r="B210" s="4" t="inlineStr">
        <is>
          <t>2017m5</t>
        </is>
      </c>
      <c r="C210" s="5" t="n">
        <v>56.41728571428571</v>
      </c>
      <c r="D210" s="6" t="n">
        <v>21</v>
      </c>
      <c r="E210" s="5" t="n">
        <v>1119.5</v>
      </c>
      <c r="F210" s="5" t="n">
        <v>50.32652173913043</v>
      </c>
      <c r="G210" s="5" t="n">
        <v>80.4563105793594</v>
      </c>
      <c r="H210" s="5" t="n">
        <v>13.50842105263158</v>
      </c>
      <c r="I210" s="5" t="n">
        <v>304.67</v>
      </c>
      <c r="J210" s="5" t="n">
        <v>99</v>
      </c>
      <c r="K210" s="5" t="n">
        <v>93.2</v>
      </c>
      <c r="L210" s="5" t="n">
        <v>107.3</v>
      </c>
      <c r="M210" s="5" t="n">
        <v>0.91</v>
      </c>
    </row>
    <row r="211">
      <c r="A211" s="3" t="n">
        <v>42887</v>
      </c>
      <c r="B211" s="4" t="inlineStr">
        <is>
          <t>2017m6</t>
        </is>
      </c>
      <c r="C211" s="5" t="n">
        <v>52.28118181818181</v>
      </c>
      <c r="D211" s="6" t="n">
        <v>22</v>
      </c>
      <c r="E211" s="5" t="n">
        <v>1144.1</v>
      </c>
      <c r="F211" s="5" t="n">
        <v>46.36818181818182</v>
      </c>
      <c r="G211" s="5" t="n">
        <v>83.25978093912001</v>
      </c>
      <c r="H211" s="5" t="n">
        <v>11.90952380952381</v>
      </c>
      <c r="I211" s="5" t="n">
        <v>311.76</v>
      </c>
      <c r="J211" s="5" t="n">
        <v>97.2</v>
      </c>
      <c r="K211" s="5" t="n">
        <v>94</v>
      </c>
      <c r="L211" s="5" t="n">
        <v>109.4</v>
      </c>
      <c r="M211" s="5" t="n">
        <v>1.04</v>
      </c>
    </row>
    <row r="212">
      <c r="A212" s="3" t="n">
        <v>42917</v>
      </c>
      <c r="B212" s="4" t="inlineStr">
        <is>
          <t>2017m7</t>
        </is>
      </c>
      <c r="C212" s="5" t="n">
        <v>57.34161904761905</v>
      </c>
      <c r="D212" s="6" t="n">
        <v>21</v>
      </c>
      <c r="E212" s="5" t="n">
        <v>1119</v>
      </c>
      <c r="F212" s="5" t="n">
        <v>48.47857142857143</v>
      </c>
      <c r="G212" s="5" t="n">
        <v>80.96842422785031</v>
      </c>
      <c r="H212" s="5" t="n">
        <v>11.55190476190476</v>
      </c>
      <c r="I212" s="5" t="n">
        <v>314.6</v>
      </c>
      <c r="J212" s="5" t="n">
        <v>98.2</v>
      </c>
      <c r="K212" s="5" t="n">
        <v>93.2</v>
      </c>
      <c r="L212" s="5" t="n">
        <v>105.7</v>
      </c>
      <c r="M212" s="5" t="n">
        <v>1.15</v>
      </c>
    </row>
    <row r="213">
      <c r="A213" s="3" t="n">
        <v>42948</v>
      </c>
      <c r="B213" s="4" t="inlineStr">
        <is>
          <t>2017m8</t>
        </is>
      </c>
      <c r="C213" s="5" t="n">
        <v>61.73371428571428</v>
      </c>
      <c r="D213" s="6" t="n">
        <v>21</v>
      </c>
      <c r="E213" s="5" t="n">
        <v>1127.8</v>
      </c>
      <c r="F213" s="5" t="n">
        <v>51.70434782608696</v>
      </c>
      <c r="G213" s="5" t="n">
        <v>80.8997151042681</v>
      </c>
      <c r="H213" s="5" t="n">
        <v>13.55454545454545</v>
      </c>
      <c r="I213" s="5" t="n">
        <v>308.28</v>
      </c>
      <c r="J213" s="5" t="n">
        <v>98</v>
      </c>
      <c r="K213" s="5" t="n">
        <v>92.90000000000001</v>
      </c>
      <c r="L213" s="5" t="n">
        <v>105.3</v>
      </c>
      <c r="M213" s="5" t="n">
        <v>1.16</v>
      </c>
    </row>
    <row r="214">
      <c r="A214" s="3" t="n">
        <v>42979</v>
      </c>
      <c r="B214" s="4" t="inlineStr">
        <is>
          <t>2017m9</t>
        </is>
      </c>
      <c r="C214" s="5" t="n">
        <v>69.56885</v>
      </c>
      <c r="D214" s="6" t="n">
        <v>20</v>
      </c>
      <c r="E214" s="5" t="n">
        <v>1145.4</v>
      </c>
      <c r="F214" s="5" t="n">
        <v>56.15285714285714</v>
      </c>
      <c r="G214" s="5" t="n">
        <v>84.2071814403056</v>
      </c>
      <c r="H214" s="5" t="n">
        <v>13.13047619047619</v>
      </c>
      <c r="I214" s="5" t="n">
        <v>316.27</v>
      </c>
      <c r="J214" s="5" t="n">
        <v>98.7</v>
      </c>
      <c r="K214" s="5" t="n">
        <v>95.3</v>
      </c>
      <c r="L214" s="5" t="n">
        <v>107</v>
      </c>
      <c r="M214" s="5" t="n">
        <v>1.15</v>
      </c>
    </row>
    <row r="215">
      <c r="A215" s="3" t="n">
        <v>43009</v>
      </c>
      <c r="B215" s="4" t="inlineStr">
        <is>
          <t>2017m10</t>
        </is>
      </c>
      <c r="C215" s="5" t="n">
        <v>71.02963157894737</v>
      </c>
      <c r="D215" s="6" t="n">
        <v>19</v>
      </c>
      <c r="E215" s="5" t="n">
        <v>1120.4</v>
      </c>
      <c r="F215" s="5" t="n">
        <v>57.50772727272727</v>
      </c>
      <c r="G215" s="5" t="n">
        <v>83.07779691109729</v>
      </c>
      <c r="H215" s="5" t="n">
        <v>12.321875</v>
      </c>
      <c r="I215" s="5" t="n">
        <v>333.57</v>
      </c>
      <c r="J215" s="5" t="n">
        <v>99.09999999999999</v>
      </c>
      <c r="K215" s="5" t="n">
        <v>94.09999999999999</v>
      </c>
      <c r="L215" s="5" t="n">
        <v>98.90000000000001</v>
      </c>
      <c r="M215" s="5" t="n">
        <v>1.15</v>
      </c>
    </row>
    <row r="216">
      <c r="A216" s="3" t="n">
        <v>43040</v>
      </c>
      <c r="B216" s="4" t="inlineStr">
        <is>
          <t>2017m11</t>
        </is>
      </c>
      <c r="C216" s="5" t="n">
        <v>67.27495</v>
      </c>
      <c r="D216" s="6" t="n">
        <v>20</v>
      </c>
      <c r="E216" s="5" t="n">
        <v>1088.2</v>
      </c>
      <c r="F216" s="5" t="n">
        <v>62.71409090909091</v>
      </c>
      <c r="G216" s="5" t="n">
        <v>88.08604715961719</v>
      </c>
      <c r="H216" s="5" t="n">
        <v>12.20545454545455</v>
      </c>
      <c r="I216" s="5" t="n">
        <v>325.25</v>
      </c>
      <c r="J216" s="5" t="n">
        <v>99.40000000000001</v>
      </c>
      <c r="K216" s="5" t="n">
        <v>97.7</v>
      </c>
      <c r="L216" s="5" t="n">
        <v>104.3</v>
      </c>
      <c r="M216" s="5" t="n">
        <v>1.16</v>
      </c>
    </row>
    <row r="217">
      <c r="A217" s="3" t="n">
        <v>43070</v>
      </c>
      <c r="B217" s="4" t="inlineStr">
        <is>
          <t>2017m12</t>
        </is>
      </c>
      <c r="C217" s="5" t="n">
        <v>55.51655555555556</v>
      </c>
      <c r="D217" s="6" t="n">
        <v>9</v>
      </c>
      <c r="E217" s="5" t="n">
        <v>1070.5</v>
      </c>
      <c r="F217" s="5" t="n">
        <v>64.37368421052631</v>
      </c>
      <c r="G217" s="5" t="n">
        <v>87.60358961246131</v>
      </c>
      <c r="H217" s="5" t="n">
        <v>12.41684210526316</v>
      </c>
      <c r="I217" s="5" t="n">
        <v>324.74</v>
      </c>
      <c r="J217" s="5" t="n">
        <v>97.2</v>
      </c>
      <c r="K217" s="5" t="n">
        <v>95.59999999999999</v>
      </c>
      <c r="L217" s="5" t="n">
        <v>106.4</v>
      </c>
      <c r="M217" s="5" t="n">
        <v>1.3</v>
      </c>
    </row>
    <row r="218">
      <c r="A218" s="3" t="n">
        <v>43101</v>
      </c>
      <c r="B218" s="4" t="inlineStr">
        <is>
          <t>2018m1</t>
        </is>
      </c>
      <c r="C218" s="5" t="n">
        <v>45.47176190476191</v>
      </c>
      <c r="D218" s="6" t="n">
        <v>21</v>
      </c>
      <c r="E218" s="5" t="n">
        <v>1067.9</v>
      </c>
      <c r="F218" s="5" t="n">
        <v>69.07727272727273</v>
      </c>
      <c r="G218" s="5" t="n">
        <v>86.15384485438859</v>
      </c>
      <c r="H218" s="5" t="n">
        <v>12.49454545454545</v>
      </c>
      <c r="I218" s="5" t="n">
        <v>333.38</v>
      </c>
      <c r="J218" s="5" t="n">
        <v>99.09999999999999</v>
      </c>
      <c r="K218" s="5" t="n">
        <v>97</v>
      </c>
      <c r="L218" s="5" t="n">
        <v>112.6</v>
      </c>
      <c r="M218" s="5" t="n">
        <v>1.41</v>
      </c>
    </row>
    <row r="219">
      <c r="A219" s="3" t="n">
        <v>43132</v>
      </c>
      <c r="B219" s="4" t="inlineStr">
        <is>
          <t>2018m2</t>
        </is>
      </c>
      <c r="C219" s="5" t="n">
        <v>51.92611764705882</v>
      </c>
      <c r="D219" s="6" t="n">
        <v>17</v>
      </c>
      <c r="E219" s="5" t="n">
        <v>1082.8</v>
      </c>
      <c r="F219" s="5" t="n">
        <v>65.3175</v>
      </c>
      <c r="G219" s="5" t="n">
        <v>88.4005635849278</v>
      </c>
      <c r="H219" s="5" t="n">
        <v>17.79611111111111</v>
      </c>
      <c r="I219" s="5" t="n">
        <v>312.86</v>
      </c>
      <c r="J219" s="5" t="n">
        <v>99.3</v>
      </c>
      <c r="K219" s="5" t="n">
        <v>98.09999999999999</v>
      </c>
      <c r="L219" s="5" t="n">
        <v>115.5</v>
      </c>
      <c r="M219" s="5" t="n">
        <v>1.42</v>
      </c>
    </row>
    <row r="220">
      <c r="A220" s="3" t="n">
        <v>43160</v>
      </c>
      <c r="B220" s="4" t="inlineStr">
        <is>
          <t>2018m3</t>
        </is>
      </c>
      <c r="C220" s="5" t="n">
        <v>47.57278571428571</v>
      </c>
      <c r="D220" s="6" t="n">
        <v>14</v>
      </c>
      <c r="E220" s="5" t="n">
        <v>1063.5</v>
      </c>
      <c r="F220" s="5" t="n">
        <v>66.01666666666667</v>
      </c>
      <c r="G220" s="5" t="n">
        <v>86.3383734913819</v>
      </c>
      <c r="H220" s="5" t="n">
        <v>16.98619047619048</v>
      </c>
      <c r="I220" s="5" t="n">
        <v>314.61</v>
      </c>
      <c r="J220" s="5" t="n">
        <v>98</v>
      </c>
      <c r="K220" s="5" t="n">
        <v>99.2</v>
      </c>
      <c r="L220" s="5" t="n">
        <v>107.5</v>
      </c>
      <c r="M220" s="5" t="n">
        <v>1.51</v>
      </c>
    </row>
    <row r="221">
      <c r="A221" s="3" t="n">
        <v>43191</v>
      </c>
      <c r="B221" s="4" t="inlineStr">
        <is>
          <t>2018m4</t>
        </is>
      </c>
      <c r="C221" s="5" t="n">
        <v>48.1115</v>
      </c>
      <c r="D221" s="6" t="n">
        <v>16</v>
      </c>
      <c r="E221" s="5" t="n">
        <v>1068</v>
      </c>
      <c r="F221" s="5" t="n">
        <v>72.10600000000001</v>
      </c>
      <c r="G221" s="5" t="n">
        <v>84.6986524303754</v>
      </c>
      <c r="H221" s="5" t="n">
        <v>15.1</v>
      </c>
      <c r="I221" s="5" t="n">
        <v>323.56</v>
      </c>
      <c r="J221" s="5" t="n">
        <v>100.9</v>
      </c>
      <c r="K221" s="5" t="n">
        <v>98.40000000000001</v>
      </c>
      <c r="L221" s="5" t="n">
        <v>104.6</v>
      </c>
      <c r="M221" s="5" t="n">
        <v>1.69</v>
      </c>
    </row>
    <row r="222">
      <c r="A222" s="3" t="n">
        <v>43221</v>
      </c>
      <c r="B222" s="4" t="inlineStr">
        <is>
          <t>2018m5</t>
        </is>
      </c>
      <c r="C222" s="5" t="n">
        <v>42.928875</v>
      </c>
      <c r="D222" s="6" t="n">
        <v>8</v>
      </c>
      <c r="E222" s="5" t="n">
        <v>1077.7</v>
      </c>
      <c r="F222" s="5" t="n">
        <v>76.9752380952381</v>
      </c>
      <c r="G222" s="5" t="n">
        <v>92.0713647902657</v>
      </c>
      <c r="H222" s="5" t="n">
        <v>12.9775</v>
      </c>
      <c r="I222" s="5" t="n">
        <v>310.92</v>
      </c>
      <c r="J222" s="5" t="n">
        <v>101.5</v>
      </c>
      <c r="K222" s="5" t="n">
        <v>97.5</v>
      </c>
      <c r="L222" s="5" t="n">
        <v>102.9</v>
      </c>
      <c r="M222" s="5" t="n">
        <v>1.7</v>
      </c>
    </row>
    <row r="223">
      <c r="A223" s="3" t="n">
        <v>43252</v>
      </c>
      <c r="B223" s="4" t="inlineStr">
        <is>
          <t>2018m6</t>
        </is>
      </c>
      <c r="C223" s="5" t="n">
        <v>45.51223529411764</v>
      </c>
      <c r="D223" s="6" t="n">
        <v>17</v>
      </c>
      <c r="E223" s="5" t="n">
        <v>1114.5</v>
      </c>
      <c r="F223" s="5" t="n">
        <v>74.4047619047619</v>
      </c>
      <c r="G223" s="5" t="n">
        <v>88.5934967724927</v>
      </c>
      <c r="H223" s="5" t="n">
        <v>14.46473684210526</v>
      </c>
      <c r="I223" s="5" t="n">
        <v>299.66</v>
      </c>
      <c r="J223" s="5" t="n">
        <v>100.9</v>
      </c>
      <c r="K223" s="5" t="n">
        <v>98</v>
      </c>
      <c r="L223" s="5" t="n">
        <v>98.09999999999999</v>
      </c>
      <c r="M223" s="5" t="n">
        <v>1.82</v>
      </c>
    </row>
    <row r="224">
      <c r="A224" s="3" t="n">
        <v>43282</v>
      </c>
      <c r="B224" s="4" t="inlineStr">
        <is>
          <t>2018m7</t>
        </is>
      </c>
      <c r="C224" s="5" t="n">
        <v>48.7454</v>
      </c>
      <c r="D224" s="6" t="n">
        <v>5</v>
      </c>
      <c r="E224" s="5" t="n">
        <v>1118.7</v>
      </c>
      <c r="F224" s="5" t="n">
        <v>74.25409090909091</v>
      </c>
      <c r="G224" s="5" t="n">
        <v>93.7282851266018</v>
      </c>
      <c r="H224" s="5" t="n">
        <v>14.64590909090909</v>
      </c>
      <c r="I224" s="5" t="n">
        <v>297.45</v>
      </c>
      <c r="J224" s="5" t="n">
        <v>101.4</v>
      </c>
      <c r="K224" s="5" t="n">
        <v>98.40000000000001</v>
      </c>
      <c r="L224" s="5" t="n">
        <v>96.3</v>
      </c>
      <c r="M224" s="5" t="n">
        <v>1.91</v>
      </c>
    </row>
    <row r="225">
      <c r="A225" s="3" t="n">
        <v>43313</v>
      </c>
      <c r="B225" s="4" t="inlineStr">
        <is>
          <t>2018m8</t>
        </is>
      </c>
      <c r="C225" s="5" t="n">
        <v>40.39</v>
      </c>
      <c r="D225" s="6" t="n">
        <v>1</v>
      </c>
      <c r="E225" s="5" t="n">
        <v>1112.9</v>
      </c>
      <c r="F225" s="5" t="n">
        <v>72.52826086956522</v>
      </c>
      <c r="G225" s="5" t="n">
        <v>93.582231827787</v>
      </c>
      <c r="H225" s="5" t="n">
        <v>12.445</v>
      </c>
      <c r="I225" s="5" t="n">
        <v>300.07</v>
      </c>
      <c r="J225" s="5" t="n">
        <v>101.9</v>
      </c>
      <c r="K225" s="5" t="n">
        <v>98.09999999999999</v>
      </c>
      <c r="L225" s="5" t="n">
        <v>95.5</v>
      </c>
      <c r="M225" s="5" t="n">
        <v>1.91</v>
      </c>
    </row>
    <row r="226">
      <c r="A226" s="3" t="n">
        <v>43344</v>
      </c>
      <c r="B226" s="4" t="inlineStr">
        <is>
          <t>2018m9</t>
        </is>
      </c>
      <c r="C226" s="5" t="n">
        <v>38.32271428571429</v>
      </c>
      <c r="D226" s="6" t="n">
        <v>7</v>
      </c>
      <c r="E226" s="5" t="n">
        <v>1109.3</v>
      </c>
      <c r="F226" s="5" t="n">
        <v>78.89099999999999</v>
      </c>
      <c r="G226" s="5" t="n">
        <v>93.6749818728801</v>
      </c>
      <c r="H226" s="5" t="n">
        <v>11.74470588235294</v>
      </c>
      <c r="I226" s="5" t="n">
        <v>300.51</v>
      </c>
      <c r="J226" s="5" t="n">
        <v>99.90000000000001</v>
      </c>
      <c r="K226" s="5" t="n">
        <v>96.5</v>
      </c>
      <c r="L226" s="5" t="n">
        <v>92.3</v>
      </c>
      <c r="M226" s="5" t="n">
        <v>1.95</v>
      </c>
    </row>
    <row r="227">
      <c r="A227" s="3" t="n">
        <v>43374</v>
      </c>
      <c r="B227" s="4" t="inlineStr">
        <is>
          <t>2018m10</t>
        </is>
      </c>
      <c r="C227" s="5" t="n">
        <v>39.42928571428571</v>
      </c>
      <c r="D227" s="6" t="n">
        <v>7</v>
      </c>
      <c r="E227" s="5" t="n">
        <v>1139.6</v>
      </c>
      <c r="F227" s="5" t="n">
        <v>81.03217391304348</v>
      </c>
      <c r="G227" s="5" t="n">
        <v>92.55523976185169</v>
      </c>
      <c r="H227" s="5" t="n">
        <v>17.25857142857143</v>
      </c>
      <c r="I227" s="5" t="n">
        <v>264.01</v>
      </c>
      <c r="J227" s="5" t="n">
        <v>101.9</v>
      </c>
      <c r="K227" s="5" t="n">
        <v>97.8</v>
      </c>
      <c r="L227" s="5" t="n">
        <v>96.7</v>
      </c>
      <c r="M227" s="5" t="n">
        <v>2.19</v>
      </c>
    </row>
    <row r="228">
      <c r="A228" s="3" t="n">
        <v>43405</v>
      </c>
      <c r="B228" s="4" t="inlineStr">
        <is>
          <t>2018m11</t>
        </is>
      </c>
      <c r="C228" s="5" t="n">
        <v>40.50233333333333</v>
      </c>
      <c r="D228" s="6" t="n">
        <v>3</v>
      </c>
      <c r="E228" s="5" t="n">
        <v>1121.2</v>
      </c>
      <c r="F228" s="5" t="n">
        <v>64.74818181818182</v>
      </c>
      <c r="G228" s="5" t="n">
        <v>85.62713736236709</v>
      </c>
      <c r="H228" s="5" t="n">
        <v>18.23818181818182</v>
      </c>
      <c r="I228" s="5" t="n">
        <v>271.35</v>
      </c>
      <c r="J228" s="5" t="n">
        <v>99.90000000000001</v>
      </c>
      <c r="K228" s="5" t="n">
        <v>98.8</v>
      </c>
      <c r="L228" s="5" t="n">
        <v>92.90000000000001</v>
      </c>
      <c r="M228" s="5" t="n">
        <v>2.2</v>
      </c>
    </row>
    <row r="229">
      <c r="A229" s="3" t="n">
        <v>43435</v>
      </c>
      <c r="B229" s="4" t="inlineStr">
        <is>
          <t>2018m12</t>
        </is>
      </c>
      <c r="C229" s="5" t="n">
        <v>39.43925</v>
      </c>
      <c r="D229" s="6" t="n">
        <v>4</v>
      </c>
      <c r="E229" s="5" t="n">
        <v>1115.7</v>
      </c>
      <c r="F229" s="5" t="n">
        <v>57.36235294117647</v>
      </c>
      <c r="G229" s="5" t="n">
        <v>77.8678095431755</v>
      </c>
      <c r="H229" s="5" t="n">
        <v>18.25157894736842</v>
      </c>
      <c r="I229" s="5" t="n">
        <v>261.98</v>
      </c>
      <c r="J229" s="5" t="n">
        <v>97.7</v>
      </c>
      <c r="K229" s="5" t="n">
        <v>99</v>
      </c>
      <c r="L229" s="5" t="n">
        <v>90.3</v>
      </c>
      <c r="M229" s="5" t="n">
        <v>2.27</v>
      </c>
    </row>
    <row r="230">
      <c r="A230" s="3" t="n">
        <v>43466</v>
      </c>
      <c r="B230" s="4" t="inlineStr">
        <is>
          <t>2019m1</t>
        </is>
      </c>
      <c r="C230" s="5" t="n">
        <v>36.17768181818182</v>
      </c>
      <c r="D230" s="6" t="n">
        <v>22</v>
      </c>
      <c r="E230" s="5" t="n">
        <v>1112.7</v>
      </c>
      <c r="F230" s="5" t="n">
        <v>59.40954545454545</v>
      </c>
      <c r="G230" s="5" t="n">
        <v>84.64056064430331</v>
      </c>
      <c r="H230" s="5" t="n">
        <v>15.64863636363636</v>
      </c>
      <c r="I230" s="5" t="n">
        <v>285.89</v>
      </c>
      <c r="J230" s="5" t="n">
        <v>98.90000000000001</v>
      </c>
      <c r="K230" s="5" t="n">
        <v>101.7</v>
      </c>
      <c r="L230" s="5" t="n">
        <v>94.5</v>
      </c>
      <c r="M230" s="5" t="n">
        <v>2.4</v>
      </c>
    </row>
    <row r="231">
      <c r="A231" s="3" t="n">
        <v>43497</v>
      </c>
      <c r="B231" s="4" t="inlineStr">
        <is>
          <t>2019m2</t>
        </is>
      </c>
      <c r="C231" s="5" t="n">
        <v>31.21888888888889</v>
      </c>
      <c r="D231" s="6" t="n">
        <v>18</v>
      </c>
      <c r="E231" s="5" t="n">
        <v>1124.7</v>
      </c>
      <c r="F231" s="5" t="n">
        <v>63.9605</v>
      </c>
      <c r="G231" s="5" t="n">
        <v>87.26168453197231</v>
      </c>
      <c r="H231" s="5" t="n">
        <v>14.70705882352941</v>
      </c>
      <c r="I231" s="5" t="n">
        <v>283.8</v>
      </c>
      <c r="J231" s="5" t="n">
        <v>95.09999999999999</v>
      </c>
      <c r="K231" s="5" t="n">
        <v>96.40000000000001</v>
      </c>
      <c r="L231" s="5" t="n">
        <v>88.09999999999999</v>
      </c>
      <c r="M231" s="5" t="n">
        <v>2.4</v>
      </c>
    </row>
    <row r="232">
      <c r="A232" s="3" t="n">
        <v>43525</v>
      </c>
      <c r="B232" s="4" t="inlineStr">
        <is>
          <t>2019m3</t>
        </is>
      </c>
      <c r="C232" s="5" t="n">
        <v>29.23486666666667</v>
      </c>
      <c r="D232" s="6" t="n">
        <v>15</v>
      </c>
      <c r="E232" s="5" t="n">
        <v>1135.1</v>
      </c>
      <c r="F232" s="5" t="n">
        <v>66.13857142857144</v>
      </c>
      <c r="G232" s="5" t="n">
        <v>85.31092208951399</v>
      </c>
      <c r="H232" s="5" t="n">
        <v>14.4165</v>
      </c>
      <c r="I232" s="5" t="n">
        <v>276.48</v>
      </c>
      <c r="J232" s="5" t="n">
        <v>97.40000000000001</v>
      </c>
      <c r="K232" s="5" t="n">
        <v>101.4</v>
      </c>
      <c r="L232" s="5" t="n">
        <v>92.5</v>
      </c>
      <c r="M232" s="5" t="n">
        <v>2.41</v>
      </c>
    </row>
    <row r="233">
      <c r="A233" s="3" t="n">
        <v>43556</v>
      </c>
      <c r="B233" s="4" t="inlineStr">
        <is>
          <t>2019m4</t>
        </is>
      </c>
      <c r="C233" s="5" t="n">
        <v>32.25411111111111</v>
      </c>
      <c r="D233" s="6" t="n">
        <v>9</v>
      </c>
      <c r="E233" s="5" t="n">
        <v>1168.2</v>
      </c>
      <c r="F233" s="5" t="n">
        <v>71.23333333333333</v>
      </c>
      <c r="G233" s="5" t="n">
        <v>90.6936525623474</v>
      </c>
      <c r="H233" s="5" t="n">
        <v>13.76681818181818</v>
      </c>
      <c r="I233" s="5" t="n">
        <v>284.92</v>
      </c>
      <c r="J233" s="5" t="n">
        <v>100.2</v>
      </c>
      <c r="K233" s="5" t="n">
        <v>99.59999999999999</v>
      </c>
      <c r="L233" s="5" t="n">
        <v>98.40000000000001</v>
      </c>
      <c r="M233" s="5" t="n">
        <v>2.42</v>
      </c>
    </row>
    <row r="234">
      <c r="A234" s="3" t="n">
        <v>43586</v>
      </c>
      <c r="B234" s="4" t="inlineStr">
        <is>
          <t>2019m5</t>
        </is>
      </c>
      <c r="C234" s="5" t="n">
        <v>34.68571428571428</v>
      </c>
      <c r="D234" s="6" t="n">
        <v>21</v>
      </c>
      <c r="E234" s="5" t="n">
        <v>1190.9</v>
      </c>
      <c r="F234" s="5" t="n">
        <v>71.31772727272727</v>
      </c>
      <c r="G234" s="5" t="n">
        <v>85.99604210212949</v>
      </c>
      <c r="H234" s="5" t="n">
        <v>16.49095238095238</v>
      </c>
      <c r="I234" s="5" t="n">
        <v>263.89</v>
      </c>
      <c r="J234" s="5" t="n">
        <v>99.40000000000001</v>
      </c>
      <c r="K234" s="5" t="n">
        <v>100.3</v>
      </c>
      <c r="L234" s="5" t="n">
        <v>92.3</v>
      </c>
      <c r="M234" s="5" t="n">
        <v>2.39</v>
      </c>
    </row>
    <row r="235">
      <c r="A235" s="3" t="n">
        <v>43617</v>
      </c>
      <c r="B235" s="4" t="inlineStr">
        <is>
          <t>2019m6</t>
        </is>
      </c>
      <c r="C235" s="5" t="n">
        <v>34.2162</v>
      </c>
      <c r="D235" s="6" t="n">
        <v>10</v>
      </c>
      <c r="E235" s="5" t="n">
        <v>1154.7</v>
      </c>
      <c r="F235" s="5" t="n">
        <v>64.2205</v>
      </c>
      <c r="G235" s="5" t="n">
        <v>85.4698417146251</v>
      </c>
      <c r="H235" s="5" t="n">
        <v>14.87210526315789</v>
      </c>
      <c r="I235" s="5" t="n">
        <v>277.5</v>
      </c>
      <c r="J235" s="5" t="n">
        <v>98.90000000000001</v>
      </c>
      <c r="K235" s="5" t="n">
        <v>98.90000000000001</v>
      </c>
      <c r="L235" s="5" t="n">
        <v>91.5</v>
      </c>
      <c r="M235" s="5" t="n">
        <v>2.38</v>
      </c>
    </row>
    <row r="236">
      <c r="A236" s="3" t="n">
        <v>43647</v>
      </c>
      <c r="B236" s="4" t="inlineStr">
        <is>
          <t>2019m7</t>
        </is>
      </c>
      <c r="C236" s="5" t="n">
        <v>30.76180952380953</v>
      </c>
      <c r="D236" s="6" t="n">
        <v>21</v>
      </c>
      <c r="E236" s="5" t="n">
        <v>1183.1</v>
      </c>
      <c r="F236" s="5" t="n">
        <v>63.9191304347826</v>
      </c>
      <c r="G236" s="5" t="n">
        <v>86.97414509480009</v>
      </c>
      <c r="H236" s="5" t="n">
        <v>13.80217391304348</v>
      </c>
      <c r="I236" s="5" t="n">
        <v>266.34</v>
      </c>
      <c r="J236" s="5" t="n">
        <v>101.8</v>
      </c>
      <c r="K236" s="5" t="n">
        <v>98.40000000000001</v>
      </c>
      <c r="L236" s="5" t="n">
        <v>93.40000000000001</v>
      </c>
      <c r="M236" s="5" t="n">
        <v>2.4</v>
      </c>
    </row>
    <row r="237">
      <c r="A237" s="3" t="n">
        <v>43678</v>
      </c>
      <c r="B237" s="4" t="inlineStr">
        <is>
          <t>2019m8</t>
        </is>
      </c>
      <c r="C237" s="5" t="n">
        <v>31.94768181818182</v>
      </c>
      <c r="D237" s="6" t="n">
        <v>22</v>
      </c>
      <c r="E237" s="5" t="n">
        <v>1211.2</v>
      </c>
      <c r="F237" s="5" t="n">
        <v>59.04181818181819</v>
      </c>
      <c r="G237" s="5" t="n">
        <v>92.7164543838545</v>
      </c>
      <c r="H237" s="5" t="n">
        <v>16.60285714285714</v>
      </c>
      <c r="I237" s="5" t="n">
        <v>259</v>
      </c>
      <c r="J237" s="5" t="n">
        <v>99.7</v>
      </c>
      <c r="K237" s="5" t="n">
        <v>102.1</v>
      </c>
      <c r="L237" s="5" t="n">
        <v>94.3</v>
      </c>
      <c r="M237" s="5" t="n">
        <v>2.13</v>
      </c>
    </row>
    <row r="238">
      <c r="A238" s="3" t="n">
        <v>43709</v>
      </c>
      <c r="B238" s="4" t="inlineStr">
        <is>
          <t>2019m9</t>
        </is>
      </c>
      <c r="C238" s="5" t="n">
        <v>29.75216666666667</v>
      </c>
      <c r="D238" s="6" t="n">
        <v>12</v>
      </c>
      <c r="E238" s="5" t="n">
        <v>1196.2</v>
      </c>
      <c r="F238" s="5" t="n">
        <v>62.82666666666668</v>
      </c>
      <c r="G238" s="5" t="n">
        <v>89.6669802995753</v>
      </c>
      <c r="H238" s="5" t="n">
        <v>14.83</v>
      </c>
      <c r="I238" s="5" t="n">
        <v>273.55</v>
      </c>
      <c r="J238" s="5" t="n">
        <v>102.1</v>
      </c>
      <c r="K238" s="5" t="n">
        <v>99.5</v>
      </c>
      <c r="L238" s="5" t="n">
        <v>92.40000000000001</v>
      </c>
      <c r="M238" s="5" t="n">
        <v>2.04</v>
      </c>
    </row>
    <row r="239">
      <c r="A239" s="3" t="n">
        <v>43739</v>
      </c>
      <c r="B239" s="4" t="inlineStr">
        <is>
          <t>2019m10</t>
        </is>
      </c>
      <c r="C239" s="5" t="n">
        <v>31.95190476190476</v>
      </c>
      <c r="D239" s="6" t="n">
        <v>21</v>
      </c>
      <c r="E239" s="5" t="n">
        <v>1163.4</v>
      </c>
      <c r="F239" s="5" t="n">
        <v>59.71304347826087</v>
      </c>
      <c r="G239" s="5" t="n">
        <v>91.1406041229051</v>
      </c>
      <c r="H239" s="5" t="n">
        <v>14.24</v>
      </c>
      <c r="I239" s="5" t="n">
        <v>275.82</v>
      </c>
      <c r="J239" s="5" t="n">
        <v>101.7</v>
      </c>
      <c r="K239" s="5" t="n">
        <v>99.8</v>
      </c>
      <c r="L239" s="5" t="n">
        <v>95.59999999999999</v>
      </c>
      <c r="M239" s="5" t="n">
        <v>1.83</v>
      </c>
    </row>
    <row r="240">
      <c r="A240" s="3" t="n">
        <v>43770</v>
      </c>
      <c r="B240" s="4" t="inlineStr">
        <is>
          <t>2019m11</t>
        </is>
      </c>
      <c r="C240" s="5" t="n">
        <v>27.66838095238095</v>
      </c>
      <c r="D240" s="6" t="n">
        <v>21</v>
      </c>
      <c r="E240" s="5" t="n">
        <v>1181.2</v>
      </c>
      <c r="F240" s="5" t="n">
        <v>63.21190476190476</v>
      </c>
      <c r="G240" s="5" t="n">
        <v>92.4436223847747</v>
      </c>
      <c r="H240" s="5" t="n">
        <v>13.74904761904762</v>
      </c>
      <c r="I240" s="5" t="n">
        <v>276.78</v>
      </c>
      <c r="J240" s="5" t="n">
        <v>101.7</v>
      </c>
      <c r="K240" s="5" t="n">
        <v>102.9</v>
      </c>
      <c r="L240" s="5" t="n">
        <v>94.40000000000001</v>
      </c>
      <c r="M240" s="5" t="n">
        <v>1.55</v>
      </c>
    </row>
    <row r="241">
      <c r="A241" s="3" t="n">
        <v>43800</v>
      </c>
      <c r="B241" s="4" t="inlineStr">
        <is>
          <t>2019m12</t>
        </is>
      </c>
      <c r="C241" s="5" t="n">
        <v>26.2931</v>
      </c>
      <c r="D241" s="6" t="n">
        <v>10</v>
      </c>
      <c r="E241" s="5" t="n">
        <v>1156.4</v>
      </c>
      <c r="F241" s="5" t="n">
        <v>67.21714285714286</v>
      </c>
      <c r="G241" s="5" t="n">
        <v>93.0023514400398</v>
      </c>
      <c r="H241" s="5" t="n">
        <v>13.713</v>
      </c>
      <c r="I241" s="5" t="n">
        <v>293.77</v>
      </c>
      <c r="J241" s="5" t="n">
        <v>103.9</v>
      </c>
      <c r="K241" s="5" t="n">
        <v>103.9</v>
      </c>
      <c r="L241" s="5" t="n">
        <v>100.2</v>
      </c>
      <c r="M241" s="5" t="n">
        <v>1.55</v>
      </c>
    </row>
    <row r="242">
      <c r="A242" s="3" t="n">
        <v>43831</v>
      </c>
      <c r="B242" s="4" t="inlineStr">
        <is>
          <t>2020m1</t>
        </is>
      </c>
      <c r="C242" s="5" t="n">
        <v>22.82566666666667</v>
      </c>
      <c r="D242" s="6" t="n">
        <v>21</v>
      </c>
      <c r="E242" s="5" t="n">
        <v>1191.8</v>
      </c>
      <c r="F242" s="5" t="n">
        <v>63.64545454545455</v>
      </c>
      <c r="G242" s="5" t="n">
        <v>84.1800808234735</v>
      </c>
      <c r="H242" s="5" t="n">
        <v>15.122</v>
      </c>
      <c r="I242" s="5" t="n">
        <v>284.53</v>
      </c>
      <c r="J242" s="5" t="n">
        <v>100.4</v>
      </c>
      <c r="K242" s="5" t="n">
        <v>100.8</v>
      </c>
      <c r="L242" s="5" t="n">
        <v>94.40000000000001</v>
      </c>
      <c r="M242" s="5" t="n">
        <v>1.55</v>
      </c>
    </row>
    <row r="243">
      <c r="A243" s="3" t="n">
        <v>43862</v>
      </c>
      <c r="B243" s="4" t="inlineStr">
        <is>
          <t>2020m2</t>
        </is>
      </c>
      <c r="C243" s="5" t="n">
        <v>25.26125</v>
      </c>
      <c r="D243" s="6" t="n">
        <v>20</v>
      </c>
      <c r="E243" s="5" t="n">
        <v>1213.7</v>
      </c>
      <c r="F243" s="5" t="n">
        <v>55.657</v>
      </c>
      <c r="G243" s="5" t="n">
        <v>85.1364502943206</v>
      </c>
      <c r="H243" s="5" t="n">
        <v>20.095</v>
      </c>
      <c r="I243" s="5" t="n">
        <v>268.02</v>
      </c>
      <c r="J243" s="5" t="n">
        <v>96.8</v>
      </c>
      <c r="K243" s="5" t="n">
        <v>95.5</v>
      </c>
      <c r="L243" s="5" t="n">
        <v>95.5</v>
      </c>
      <c r="M243" s="5" t="n">
        <v>1.58</v>
      </c>
    </row>
    <row r="244">
      <c r="A244" s="3" t="n">
        <v>43891</v>
      </c>
      <c r="B244" s="4" t="inlineStr">
        <is>
          <t>2020m3</t>
        </is>
      </c>
      <c r="C244" s="5" t="n">
        <v>41.37695</v>
      </c>
      <c r="D244" s="6" t="n">
        <v>20</v>
      </c>
      <c r="E244" s="5" t="n">
        <v>1217.4</v>
      </c>
      <c r="F244" s="5" t="n">
        <v>32.01136363636363</v>
      </c>
      <c r="G244" s="5" t="n">
        <v>87.5963821824154</v>
      </c>
      <c r="H244" s="5" t="n">
        <v>47.44363636363637</v>
      </c>
      <c r="I244" s="5" t="n">
        <v>236.82</v>
      </c>
      <c r="J244" s="5" t="n">
        <v>101.3</v>
      </c>
      <c r="K244" s="5" t="n">
        <v>93.90000000000001</v>
      </c>
      <c r="L244" s="5" t="n">
        <v>100.6</v>
      </c>
      <c r="M244" s="5" t="n">
        <v>0.65</v>
      </c>
    </row>
    <row r="245">
      <c r="A245" s="3" t="n">
        <v>43922</v>
      </c>
      <c r="B245" s="4" t="inlineStr">
        <is>
          <t>2020m4</t>
        </is>
      </c>
      <c r="C245" s="5" t="n">
        <v>35.75647619047619</v>
      </c>
      <c r="D245" s="6" t="n">
        <v>21</v>
      </c>
      <c r="E245" s="5" t="n">
        <v>1218.2</v>
      </c>
      <c r="F245" s="5" t="n">
        <v>18.3785</v>
      </c>
      <c r="G245" s="5" t="n">
        <v>86.4721682396117</v>
      </c>
      <c r="H245" s="5" t="n">
        <v>37.354</v>
      </c>
      <c r="I245" s="5" t="n">
        <v>258.15</v>
      </c>
      <c r="J245" s="5" t="n">
        <v>98</v>
      </c>
      <c r="K245" s="5" t="n">
        <v>96.90000000000001</v>
      </c>
      <c r="L245" s="5" t="n">
        <v>103.6</v>
      </c>
      <c r="M245" s="5" t="n">
        <v>0.05</v>
      </c>
    </row>
    <row r="246">
      <c r="A246" s="3" t="n">
        <v>43952</v>
      </c>
      <c r="B246" s="4" t="inlineStr">
        <is>
          <t>2020m5</t>
        </is>
      </c>
      <c r="C246" s="5" t="n">
        <v>31.79347619047619</v>
      </c>
      <c r="D246" s="6" t="n">
        <v>21</v>
      </c>
      <c r="E246" s="5" t="n">
        <v>1238.5</v>
      </c>
      <c r="F246" s="5" t="n">
        <v>29.37894736842106</v>
      </c>
      <c r="G246" s="5" t="n">
        <v>87.1585090633772</v>
      </c>
      <c r="H246" s="5" t="n">
        <v>27.23631578947369</v>
      </c>
      <c r="I246" s="5" t="n">
        <v>268.32</v>
      </c>
      <c r="J246" s="5" t="n">
        <v>90.8</v>
      </c>
      <c r="K246" s="5" t="n">
        <v>101.4</v>
      </c>
      <c r="L246" s="5" t="n">
        <v>96.09999999999999</v>
      </c>
      <c r="M246" s="5" t="n">
        <v>0.05</v>
      </c>
    </row>
    <row r="247">
      <c r="A247" s="3" t="n">
        <v>43983</v>
      </c>
      <c r="B247" s="4" t="inlineStr">
        <is>
          <t>2020m6</t>
        </is>
      </c>
      <c r="C247" s="5" t="n">
        <v>26.56227272727273</v>
      </c>
      <c r="D247" s="6" t="n">
        <v>22</v>
      </c>
      <c r="E247" s="5" t="n">
        <v>1203</v>
      </c>
      <c r="F247" s="5" t="n">
        <v>40.26681818181818</v>
      </c>
      <c r="G247" s="5" t="n">
        <v>95.25641511819479</v>
      </c>
      <c r="H247" s="5" t="n">
        <v>30.67045454545455</v>
      </c>
      <c r="I247" s="5" t="n">
        <v>280.09</v>
      </c>
      <c r="J247" s="5" t="n">
        <v>96.8</v>
      </c>
      <c r="K247" s="5" t="n">
        <v>103.5</v>
      </c>
      <c r="L247" s="5" t="n">
        <v>102.3</v>
      </c>
      <c r="M247" s="5" t="n">
        <v>0.08</v>
      </c>
    </row>
    <row r="248">
      <c r="A248" s="3" t="n">
        <v>44013</v>
      </c>
      <c r="B248" s="4" t="inlineStr">
        <is>
          <t>2020m7</t>
        </is>
      </c>
      <c r="C248" s="5" t="n">
        <v>24.51486956521739</v>
      </c>
      <c r="D248" s="6" t="n">
        <v>23</v>
      </c>
      <c r="E248" s="5" t="n">
        <v>1191.3</v>
      </c>
      <c r="F248" s="5" t="n">
        <v>43.24217391304348</v>
      </c>
      <c r="G248" s="5" t="n">
        <v>95.5185328771224</v>
      </c>
      <c r="H248" s="5" t="n">
        <v>23.70652173913043</v>
      </c>
      <c r="I248" s="5" t="n">
        <v>299.32</v>
      </c>
      <c r="J248" s="5" t="n">
        <v>98.7</v>
      </c>
      <c r="K248" s="5" t="n">
        <v>98.7</v>
      </c>
      <c r="L248" s="5" t="n">
        <v>101.4</v>
      </c>
      <c r="M248" s="5" t="n">
        <v>0.09</v>
      </c>
    </row>
    <row r="249">
      <c r="A249" s="3" t="n">
        <v>44044</v>
      </c>
      <c r="B249" s="4" t="inlineStr">
        <is>
          <t>2020m8</t>
        </is>
      </c>
      <c r="C249" s="5" t="n">
        <v>21.76933333333334</v>
      </c>
      <c r="D249" s="6" t="n">
        <v>9</v>
      </c>
      <c r="E249" s="5" t="n">
        <v>1187.8</v>
      </c>
      <c r="F249" s="5" t="n">
        <v>44.736</v>
      </c>
      <c r="G249" s="5" t="n">
        <v>95.6809599821914</v>
      </c>
      <c r="H249" s="5" t="n">
        <v>24.3845</v>
      </c>
      <c r="I249" s="5" t="n">
        <v>307.14</v>
      </c>
      <c r="J249" s="5" t="n">
        <v>99.8</v>
      </c>
      <c r="K249" s="5" t="n">
        <v>101.5</v>
      </c>
      <c r="L249" s="5" t="n">
        <v>97.59999999999999</v>
      </c>
      <c r="M249" s="5" t="n">
        <v>0.1</v>
      </c>
    </row>
    <row r="250">
      <c r="A250" s="3" t="n">
        <v>44075</v>
      </c>
      <c r="B250" s="4" t="inlineStr">
        <is>
          <t>2020m9</t>
        </is>
      </c>
      <c r="C250" s="5" t="n">
        <v>24.82114285714286</v>
      </c>
      <c r="D250" s="6" t="n">
        <v>14</v>
      </c>
      <c r="E250" s="5" t="n">
        <v>1169.5</v>
      </c>
      <c r="F250" s="5" t="n">
        <v>40.90954545454545</v>
      </c>
      <c r="G250" s="5" t="n">
        <v>99.841652371785</v>
      </c>
      <c r="H250" s="5" t="n">
        <v>24.1952380952381</v>
      </c>
      <c r="I250" s="5" t="n">
        <v>309.44</v>
      </c>
      <c r="J250" s="5" t="n">
        <v>104.1</v>
      </c>
      <c r="K250" s="5" t="n">
        <v>103.1</v>
      </c>
      <c r="L250" s="5" t="n">
        <v>108.1</v>
      </c>
      <c r="M250" s="5" t="n">
        <v>0.09</v>
      </c>
    </row>
    <row r="251">
      <c r="A251" s="3" t="n">
        <v>44105</v>
      </c>
      <c r="B251" s="4" t="inlineStr">
        <is>
          <t>2020m10</t>
        </is>
      </c>
      <c r="C251" s="5" t="n">
        <v>25.1036</v>
      </c>
      <c r="D251" s="6" t="n">
        <v>20</v>
      </c>
      <c r="E251" s="5" t="n">
        <v>1135.1</v>
      </c>
      <c r="F251" s="5" t="n">
        <v>40.18954545454546</v>
      </c>
      <c r="G251" s="5" t="n">
        <v>97.36598737561</v>
      </c>
      <c r="H251" s="5" t="n">
        <v>22.76684210526316</v>
      </c>
      <c r="I251" s="5" t="n">
        <v>301.6</v>
      </c>
      <c r="J251" s="5" t="n">
        <v>103.7</v>
      </c>
      <c r="K251" s="5" t="n">
        <v>101.9</v>
      </c>
      <c r="L251" s="5" t="n">
        <v>96.59999999999999</v>
      </c>
      <c r="M251" s="5" t="n">
        <v>0.09</v>
      </c>
    </row>
    <row r="252">
      <c r="A252" s="3" t="n">
        <v>44136</v>
      </c>
      <c r="B252" s="4" t="inlineStr">
        <is>
          <t>2020m11</t>
        </is>
      </c>
      <c r="C252" s="5" t="n">
        <v>22.48435</v>
      </c>
      <c r="D252" s="6" t="n">
        <v>20</v>
      </c>
      <c r="E252" s="5" t="n">
        <v>1106.5</v>
      </c>
      <c r="F252" s="5" t="n">
        <v>42.69238095238095</v>
      </c>
      <c r="G252" s="5" t="n">
        <v>96.3974982901355</v>
      </c>
      <c r="H252" s="5" t="n">
        <v>21.24095238095238</v>
      </c>
      <c r="I252" s="5" t="n">
        <v>346.05</v>
      </c>
      <c r="J252" s="5" t="n">
        <v>104.4</v>
      </c>
      <c r="K252" s="5" t="n">
        <v>101.2</v>
      </c>
      <c r="L252" s="5" t="n">
        <v>98.90000000000001</v>
      </c>
      <c r="M252" s="5" t="n">
        <v>0.09</v>
      </c>
    </row>
    <row r="253">
      <c r="A253" s="3" t="n">
        <v>44166</v>
      </c>
      <c r="B253" s="4" t="inlineStr">
        <is>
          <t>2020m12</t>
        </is>
      </c>
      <c r="C253" s="5" t="n">
        <v>21.4365</v>
      </c>
      <c r="D253" s="6" t="n">
        <v>20</v>
      </c>
      <c r="E253" s="5" t="n">
        <v>1086.3</v>
      </c>
      <c r="F253" s="5" t="n">
        <v>49.99363636363637</v>
      </c>
      <c r="G253" s="5" t="n">
        <v>96.3043739478582</v>
      </c>
      <c r="H253" s="5" t="n">
        <v>20.90904761904762</v>
      </c>
      <c r="I253" s="5" t="n">
        <v>389.29</v>
      </c>
      <c r="J253" s="5" t="n">
        <v>105.3</v>
      </c>
      <c r="K253" s="5" t="n">
        <v>101.7</v>
      </c>
      <c r="L253" s="5" t="n">
        <v>104.8</v>
      </c>
      <c r="M253" s="5" t="n">
        <v>0.09</v>
      </c>
    </row>
    <row r="254">
      <c r="A254" s="3" t="n">
        <v>44197</v>
      </c>
      <c r="B254" s="4" t="inlineStr">
        <is>
          <t>2021m1</t>
        </is>
      </c>
      <c r="C254" s="5" t="n">
        <v>24.24335</v>
      </c>
      <c r="D254" s="6" t="n">
        <v>20</v>
      </c>
      <c r="E254" s="5" t="n">
        <v>1118.8</v>
      </c>
      <c r="F254" s="5" t="n">
        <v>54.774</v>
      </c>
      <c r="G254" s="5" t="n">
        <v>98.6066333310942</v>
      </c>
      <c r="H254" s="5" t="n">
        <v>30.808</v>
      </c>
      <c r="I254" s="5" t="n">
        <v>404.56</v>
      </c>
      <c r="J254" s="5" t="n">
        <v>105.8</v>
      </c>
      <c r="K254" s="5" t="n">
        <v>104.9</v>
      </c>
      <c r="L254" s="5" t="n">
        <v>113.2</v>
      </c>
      <c r="M254" s="5" t="n">
        <v>0.09</v>
      </c>
    </row>
    <row r="255">
      <c r="A255" s="3" t="n">
        <v>44228</v>
      </c>
      <c r="B255" s="4" t="inlineStr">
        <is>
          <t>2021m2</t>
        </is>
      </c>
      <c r="C255" s="5" t="n">
        <v>22.72642105263158</v>
      </c>
      <c r="D255" s="6" t="n">
        <v>19</v>
      </c>
      <c r="E255" s="5" t="n">
        <v>1123.5</v>
      </c>
      <c r="F255" s="5" t="n">
        <v>62.2765</v>
      </c>
      <c r="G255" s="5" t="n">
        <v>98.4702395123707</v>
      </c>
      <c r="H255" s="5" t="n">
        <v>28.40888888888889</v>
      </c>
      <c r="I255" s="5" t="n">
        <v>409.91</v>
      </c>
      <c r="J255" s="5" t="n">
        <v>108.5</v>
      </c>
      <c r="K255" s="5" t="n">
        <v>102.1</v>
      </c>
      <c r="L255" s="5" t="n">
        <v>109.6</v>
      </c>
      <c r="M255" s="5" t="n">
        <v>0.08</v>
      </c>
    </row>
    <row r="256">
      <c r="A256" s="3" t="n">
        <v>44256</v>
      </c>
      <c r="B256" s="4" t="inlineStr">
        <is>
          <t>2021m3</t>
        </is>
      </c>
      <c r="C256" s="5" t="n">
        <v>22.19495652173913</v>
      </c>
      <c r="D256" s="6" t="n">
        <v>23</v>
      </c>
      <c r="E256" s="5" t="n">
        <v>1131.8</v>
      </c>
      <c r="F256" s="5" t="n">
        <v>65.41</v>
      </c>
      <c r="G256" s="5" t="n">
        <v>103.961523658382</v>
      </c>
      <c r="H256" s="5" t="n">
        <v>25.12818181818182</v>
      </c>
      <c r="I256" s="5" t="n">
        <v>415.04</v>
      </c>
      <c r="J256" s="5" t="n">
        <v>107.2</v>
      </c>
      <c r="K256" s="5" t="n">
        <v>104.1</v>
      </c>
      <c r="L256" s="5" t="n">
        <v>109.9</v>
      </c>
      <c r="M256" s="5" t="n">
        <v>0.07000000000000001</v>
      </c>
    </row>
    <row r="257">
      <c r="A257" s="3" t="n">
        <v>44287</v>
      </c>
      <c r="B257" s="4" t="inlineStr">
        <is>
          <t>2021m4</t>
        </is>
      </c>
      <c r="C257" s="5" t="n">
        <v>21.36533333333334</v>
      </c>
      <c r="D257" s="6" t="n">
        <v>21</v>
      </c>
      <c r="E257" s="5" t="n">
        <v>1112.3</v>
      </c>
      <c r="F257" s="5" t="n">
        <v>64.8065</v>
      </c>
      <c r="G257" s="5" t="n">
        <v>103.472455810224</v>
      </c>
      <c r="H257" s="5" t="n">
        <v>18.03</v>
      </c>
      <c r="I257" s="5" t="n">
        <v>422.36</v>
      </c>
      <c r="J257" s="5" t="n">
        <v>106.2</v>
      </c>
      <c r="K257" s="5" t="n">
        <v>105.4</v>
      </c>
      <c r="L257" s="5" t="n">
        <v>118.2</v>
      </c>
      <c r="M257" s="5" t="n">
        <v>0.07000000000000001</v>
      </c>
    </row>
    <row r="258">
      <c r="A258" s="3" t="n">
        <v>44317</v>
      </c>
      <c r="B258" s="4" t="inlineStr">
        <is>
          <t>2021m5</t>
        </is>
      </c>
      <c r="C258" s="5" t="n">
        <v>19.13095</v>
      </c>
      <c r="D258" s="6" t="n">
        <v>20</v>
      </c>
      <c r="E258" s="5" t="n">
        <v>1110.9</v>
      </c>
      <c r="F258" s="5" t="n">
        <v>68.53421052631579</v>
      </c>
      <c r="G258" s="5" t="n">
        <v>102.015094920368</v>
      </c>
      <c r="H258" s="5" t="n">
        <v>18.77736842105263</v>
      </c>
      <c r="I258" s="5" t="n">
        <v>427.91</v>
      </c>
      <c r="J258" s="5" t="n">
        <v>105.4</v>
      </c>
      <c r="K258" s="5" t="n">
        <v>105</v>
      </c>
      <c r="L258" s="5" t="n">
        <v>108.5</v>
      </c>
      <c r="M258" s="5" t="n">
        <v>0.06</v>
      </c>
    </row>
    <row r="259">
      <c r="A259" s="3" t="n">
        <v>44348</v>
      </c>
      <c r="B259" s="4" t="inlineStr">
        <is>
          <t>2021m6</t>
        </is>
      </c>
      <c r="C259" s="5" t="n">
        <v>18.29568421052631</v>
      </c>
      <c r="D259" s="6" t="n">
        <v>19</v>
      </c>
      <c r="E259" s="5" t="n">
        <v>1126.1</v>
      </c>
      <c r="F259" s="5" t="n">
        <v>73.1640909090909</v>
      </c>
      <c r="G259" s="5" t="n">
        <v>100.503750982215</v>
      </c>
      <c r="H259" s="5" t="n">
        <v>15.46409090909091</v>
      </c>
      <c r="I259" s="5" t="n">
        <v>438.84</v>
      </c>
      <c r="J259" s="5" t="n">
        <v>106.3</v>
      </c>
      <c r="K259" s="5" t="n">
        <v>106.1</v>
      </c>
      <c r="L259" s="5" t="n">
        <v>114.9</v>
      </c>
      <c r="M259" s="5" t="n">
        <v>0.08</v>
      </c>
    </row>
    <row r="260">
      <c r="A260" s="3" t="n">
        <v>44378</v>
      </c>
      <c r="B260" s="4" t="inlineStr">
        <is>
          <t>2021m7</t>
        </is>
      </c>
      <c r="C260" s="5" t="n">
        <v>18.34633333333333</v>
      </c>
      <c r="D260" s="6" t="n">
        <v>21</v>
      </c>
      <c r="E260" s="5" t="n">
        <v>1150.3</v>
      </c>
      <c r="F260" s="5" t="n">
        <v>75.1659090909091</v>
      </c>
      <c r="G260" s="5" t="n">
        <v>99.27052355017069</v>
      </c>
      <c r="H260" s="5" t="n">
        <v>14.48909090909091</v>
      </c>
      <c r="I260" s="5" t="n">
        <v>423.91</v>
      </c>
      <c r="J260" s="5" t="n">
        <v>108.8</v>
      </c>
      <c r="K260" s="5" t="n">
        <v>106.7</v>
      </c>
      <c r="L260" s="5" t="n">
        <v>116.8</v>
      </c>
      <c r="M260" s="5" t="n">
        <v>0.1</v>
      </c>
    </row>
    <row r="261">
      <c r="A261" s="3" t="n">
        <v>44409</v>
      </c>
      <c r="B261" s="4" t="inlineStr">
        <is>
          <t>2021m8</t>
        </is>
      </c>
      <c r="C261" s="5" t="n">
        <v>18.29171428571428</v>
      </c>
      <c r="D261" s="6" t="n">
        <v>21</v>
      </c>
      <c r="E261" s="5" t="n">
        <v>1159.5</v>
      </c>
      <c r="F261" s="5" t="n">
        <v>70.74714285714286</v>
      </c>
      <c r="G261" s="5" t="n">
        <v>100.55156899403</v>
      </c>
      <c r="H261" s="5" t="n">
        <v>15.59047619047619</v>
      </c>
      <c r="I261" s="5" t="n">
        <v>419.79</v>
      </c>
      <c r="J261" s="5" t="n">
        <v>109</v>
      </c>
      <c r="K261" s="5" t="n">
        <v>106.2</v>
      </c>
      <c r="L261" s="5" t="n">
        <v>109.9</v>
      </c>
      <c r="M261" s="5" t="n">
        <v>0.09</v>
      </c>
    </row>
    <row r="262">
      <c r="A262" s="3" t="n">
        <v>44440</v>
      </c>
      <c r="B262" s="4" t="inlineStr">
        <is>
          <t>2021m9</t>
        </is>
      </c>
      <c r="C262" s="5" t="n">
        <v>18.31728571428571</v>
      </c>
      <c r="D262" s="6" t="n">
        <v>21</v>
      </c>
      <c r="E262" s="5" t="n">
        <v>1184</v>
      </c>
      <c r="F262" s="5" t="n">
        <v>74.48863636363636</v>
      </c>
      <c r="G262" s="5" t="n">
        <v>96.1573414946257</v>
      </c>
      <c r="H262" s="5" t="n">
        <v>15.54473684210526</v>
      </c>
      <c r="I262" s="5" t="n">
        <v>401.3</v>
      </c>
      <c r="J262" s="5" t="n">
        <v>108.5</v>
      </c>
      <c r="K262" s="5" t="n">
        <v>108.9</v>
      </c>
      <c r="L262" s="5" t="n">
        <v>101.7</v>
      </c>
      <c r="M262" s="5" t="n">
        <v>0.08</v>
      </c>
    </row>
    <row r="263">
      <c r="A263" s="3" t="n">
        <v>44470</v>
      </c>
      <c r="B263" s="4" t="inlineStr">
        <is>
          <t>2021m10</t>
        </is>
      </c>
      <c r="C263" s="5" t="n">
        <v>19.7616</v>
      </c>
      <c r="D263" s="6" t="n">
        <v>20</v>
      </c>
      <c r="E263" s="5" t="n">
        <v>1168.6</v>
      </c>
      <c r="F263" s="5" t="n">
        <v>83.53809523809524</v>
      </c>
      <c r="G263" s="5" t="n">
        <v>98.0404983169222</v>
      </c>
      <c r="H263" s="5" t="n">
        <v>18.66736842105263</v>
      </c>
      <c r="I263" s="5" t="n">
        <v>388.47</v>
      </c>
      <c r="J263" s="5" t="n">
        <v>109.2</v>
      </c>
      <c r="K263" s="5" t="n">
        <v>108.6</v>
      </c>
      <c r="L263" s="5" t="n">
        <v>100.7</v>
      </c>
      <c r="M263" s="5" t="n">
        <v>0.08</v>
      </c>
    </row>
    <row r="264">
      <c r="A264" s="3" t="n">
        <v>44501</v>
      </c>
      <c r="B264" s="4" t="inlineStr">
        <is>
          <t>2021m11</t>
        </is>
      </c>
      <c r="C264" s="5" t="n">
        <v>19.06763636363636</v>
      </c>
      <c r="D264" s="6" t="n">
        <v>22</v>
      </c>
      <c r="E264" s="5" t="n">
        <v>1187.9</v>
      </c>
      <c r="F264" s="5" t="n">
        <v>81.05</v>
      </c>
      <c r="G264" s="5" t="n">
        <v>102.178686310505</v>
      </c>
      <c r="H264" s="5" t="n">
        <v>17.53818181818182</v>
      </c>
      <c r="I264" s="5" t="n">
        <v>373.24</v>
      </c>
      <c r="J264" s="5" t="n">
        <v>110.7</v>
      </c>
      <c r="K264" s="5" t="n">
        <v>105.8</v>
      </c>
      <c r="L264" s="5" t="n">
        <v>108.7</v>
      </c>
      <c r="M264" s="5" t="n">
        <v>0.08</v>
      </c>
    </row>
    <row r="265">
      <c r="A265" s="3" t="n">
        <v>44531</v>
      </c>
      <c r="B265" s="4" t="inlineStr">
        <is>
          <t>2021m12</t>
        </is>
      </c>
      <c r="C265" s="5" t="n">
        <v>20.46735294117647</v>
      </c>
      <c r="D265" s="6" t="n">
        <v>17</v>
      </c>
      <c r="E265" s="5" t="n">
        <v>1188.8</v>
      </c>
      <c r="F265" s="5" t="n">
        <v>74.17047619047619</v>
      </c>
      <c r="G265" s="5" t="n">
        <v>96.7716831190926</v>
      </c>
      <c r="H265" s="5" t="n">
        <v>18.08636363636364</v>
      </c>
      <c r="I265" s="5" t="n">
        <v>394.19</v>
      </c>
      <c r="J265" s="5" t="n">
        <v>114.9</v>
      </c>
      <c r="K265" s="5" t="n">
        <v>108</v>
      </c>
      <c r="L265" s="5" t="n">
        <v>111.4</v>
      </c>
      <c r="M265" s="5" t="n">
        <v>0.08</v>
      </c>
    </row>
    <row r="266">
      <c r="A266" s="3" t="n">
        <v>44562</v>
      </c>
      <c r="B266" s="4" t="inlineStr">
        <is>
          <t>2022m1</t>
        </is>
      </c>
      <c r="C266" s="5" t="n">
        <v>23.22866666666667</v>
      </c>
      <c r="D266" s="6" t="n">
        <v>21</v>
      </c>
      <c r="E266" s="5" t="n">
        <v>1205.5</v>
      </c>
      <c r="F266" s="5" t="n">
        <v>86.50523809523808</v>
      </c>
      <c r="G266" s="5" t="n">
        <v>99.5721795418636</v>
      </c>
      <c r="H266" s="5" t="n">
        <v>19.173</v>
      </c>
      <c r="I266" s="5" t="n">
        <v>357.98</v>
      </c>
      <c r="J266" s="5" t="n">
        <v>115.6</v>
      </c>
      <c r="K266" s="5" t="n">
        <v>107.8</v>
      </c>
      <c r="L266" s="5" t="n">
        <v>117.5</v>
      </c>
      <c r="M266" s="5" t="n">
        <v>0.08</v>
      </c>
    </row>
    <row r="267">
      <c r="A267" s="3" t="n">
        <v>44593</v>
      </c>
      <c r="B267" s="4" t="inlineStr">
        <is>
          <t>2022m2</t>
        </is>
      </c>
      <c r="C267" s="5" t="n">
        <v>27.18777777777778</v>
      </c>
      <c r="D267" s="6" t="n">
        <v>18</v>
      </c>
      <c r="E267" s="5" t="n">
        <v>1202.3</v>
      </c>
      <c r="F267" s="5" t="n">
        <v>97.12899999999999</v>
      </c>
      <c r="G267" s="5" t="n">
        <v>99.34382178724699</v>
      </c>
      <c r="H267" s="5" t="n">
        <v>22.90555555555556</v>
      </c>
      <c r="I267" s="5" t="n">
        <v>361.54</v>
      </c>
      <c r="J267" s="5" t="n">
        <v>114</v>
      </c>
      <c r="K267" s="5" t="n">
        <v>104.4</v>
      </c>
      <c r="L267" s="5" t="n">
        <v>108.8</v>
      </c>
      <c r="M267" s="5" t="n">
        <v>0.08</v>
      </c>
    </row>
    <row r="268">
      <c r="A268" s="3" t="n">
        <v>44621</v>
      </c>
      <c r="B268" s="4" t="inlineStr">
        <is>
          <t>2022m3</t>
        </is>
      </c>
      <c r="C268" s="5" t="n">
        <v>30.05417391304348</v>
      </c>
      <c r="D268" s="6" t="n">
        <v>23</v>
      </c>
      <c r="E268" s="5" t="n">
        <v>1212.1</v>
      </c>
      <c r="F268" s="5" t="n">
        <v>117.2452173913043</v>
      </c>
      <c r="G268" s="5" t="n">
        <v>89.7691834307587</v>
      </c>
      <c r="H268" s="5" t="n">
        <v>22.55</v>
      </c>
      <c r="I268" s="5" t="n">
        <v>365.61</v>
      </c>
      <c r="J268" s="5" t="n">
        <v>114.6</v>
      </c>
      <c r="K268" s="5" t="n">
        <v>106.4</v>
      </c>
      <c r="L268" s="5" t="n">
        <v>106.1</v>
      </c>
      <c r="M268" s="5" t="n">
        <v>0.2</v>
      </c>
    </row>
    <row r="269">
      <c r="A269" s="3" t="n">
        <v>44652</v>
      </c>
      <c r="B269" s="4" t="inlineStr">
        <is>
          <t>2022m4</t>
        </is>
      </c>
      <c r="C269" s="5" t="n">
        <v>29.86514285714286</v>
      </c>
      <c r="D269" s="6" t="n">
        <v>21</v>
      </c>
      <c r="E269" s="5" t="n">
        <v>1255.9</v>
      </c>
      <c r="F269" s="5" t="n">
        <v>104.5752631578947</v>
      </c>
      <c r="G269" s="5" t="n">
        <v>89.2281169822451</v>
      </c>
      <c r="H269" s="5" t="n">
        <v>18.08904761904762</v>
      </c>
      <c r="I269" s="5" t="n">
        <v>355.08</v>
      </c>
      <c r="J269" s="5" t="n">
        <v>112.6</v>
      </c>
      <c r="K269" s="5" t="n">
        <v>105.9</v>
      </c>
      <c r="L269" s="5" t="n">
        <v>103.9</v>
      </c>
      <c r="M269" s="5" t="n">
        <v>0.33</v>
      </c>
    </row>
    <row r="270">
      <c r="A270" s="3" t="n">
        <v>44682</v>
      </c>
      <c r="B270" s="4" t="inlineStr">
        <is>
          <t>2022m5</t>
        </is>
      </c>
      <c r="C270" s="5" t="n">
        <v>44.00538095238095</v>
      </c>
      <c r="D270" s="6" t="n">
        <v>21</v>
      </c>
      <c r="E270" s="5" t="n">
        <v>1237.2</v>
      </c>
      <c r="F270" s="5" t="n">
        <v>113.3376190476191</v>
      </c>
      <c r="G270" s="5" t="n">
        <v>95.3158781691663</v>
      </c>
      <c r="H270" s="5" t="n">
        <v>19.95904761904762</v>
      </c>
      <c r="I270" s="5" t="n">
        <v>354.54</v>
      </c>
      <c r="J270" s="5" t="n">
        <v>111.2</v>
      </c>
      <c r="K270" s="5" t="n">
        <v>105.5</v>
      </c>
      <c r="L270" s="5" t="n">
        <v>112.3</v>
      </c>
      <c r="M270" s="5" t="n">
        <v>0.77</v>
      </c>
    </row>
    <row r="271">
      <c r="A271" s="3" t="n">
        <v>44713</v>
      </c>
      <c r="B271" s="4" t="inlineStr">
        <is>
          <t>2022m6</t>
        </is>
      </c>
      <c r="C271" s="5" t="n">
        <v>47.75668181818182</v>
      </c>
      <c r="D271" s="6" t="n">
        <v>22</v>
      </c>
      <c r="E271" s="5" t="n">
        <v>1298.4</v>
      </c>
      <c r="F271" s="5" t="n">
        <v>122.7109523809524</v>
      </c>
      <c r="G271" s="5" t="n">
        <v>91.3989100757581</v>
      </c>
      <c r="H271" s="5" t="n">
        <v>22.056</v>
      </c>
      <c r="I271" s="5" t="n">
        <v>307.2</v>
      </c>
      <c r="J271" s="5" t="n">
        <v>112.5</v>
      </c>
      <c r="K271" s="5" t="n">
        <v>104.6</v>
      </c>
      <c r="L271" s="5" t="n">
        <v>116.1</v>
      </c>
      <c r="M271" s="5" t="n">
        <v>1.21</v>
      </c>
    </row>
    <row r="272">
      <c r="A272" s="3" t="n">
        <v>44743</v>
      </c>
      <c r="B272" s="4" t="inlineStr">
        <is>
          <t>2022m7</t>
        </is>
      </c>
      <c r="C272" s="5" t="n">
        <v>49.8352380952381</v>
      </c>
      <c r="D272" s="6" t="n">
        <v>21</v>
      </c>
      <c r="E272" s="5" t="n">
        <v>1299.1</v>
      </c>
      <c r="F272" s="5" t="n">
        <v>111.9257142857143</v>
      </c>
      <c r="G272" s="5" t="n">
        <v>92.85221451635429</v>
      </c>
      <c r="H272" s="5" t="n">
        <v>21.60047619047619</v>
      </c>
      <c r="I272" s="5" t="n">
        <v>323.31</v>
      </c>
      <c r="J272" s="5" t="n">
        <v>111.5</v>
      </c>
      <c r="K272" s="5" t="n">
        <v>104.6</v>
      </c>
      <c r="L272" s="5" t="n">
        <v>115.2</v>
      </c>
      <c r="M272" s="5" t="n">
        <v>1.68</v>
      </c>
    </row>
    <row r="273">
      <c r="A273" s="3" t="n">
        <v>44774</v>
      </c>
      <c r="B273" s="4" t="inlineStr">
        <is>
          <t>2022m8</t>
        </is>
      </c>
      <c r="C273" s="5" t="n">
        <v>36.69582608695652</v>
      </c>
      <c r="D273" s="6" t="n">
        <v>23</v>
      </c>
      <c r="E273" s="5" t="n">
        <v>1337.6</v>
      </c>
      <c r="F273" s="5" t="n">
        <v>100.4463636363636</v>
      </c>
      <c r="G273" s="5" t="n">
        <v>93.09821532131539</v>
      </c>
      <c r="H273" s="5" t="n">
        <v>16.95</v>
      </c>
      <c r="I273" s="5" t="n">
        <v>322.96</v>
      </c>
      <c r="J273" s="5" t="n">
        <v>107.1</v>
      </c>
      <c r="K273" s="5" t="n">
        <v>108.3</v>
      </c>
      <c r="L273" s="5" t="n">
        <v>121.1</v>
      </c>
      <c r="M273" s="5" t="n">
        <v>2.33</v>
      </c>
    </row>
    <row r="274">
      <c r="A274" s="3" t="n">
        <v>44805</v>
      </c>
      <c r="B274" s="4" t="inlineStr">
        <is>
          <t>2022m9</t>
        </is>
      </c>
      <c r="C274" s="5" t="n">
        <v>39.43022727272727</v>
      </c>
      <c r="D274" s="6" t="n">
        <v>22</v>
      </c>
      <c r="E274" s="5" t="n">
        <v>1430.2</v>
      </c>
      <c r="F274" s="5" t="n">
        <v>89.7647619047619</v>
      </c>
      <c r="G274" s="5" t="n">
        <v>96.64411385158949</v>
      </c>
      <c r="H274" s="5" t="n">
        <v>20.774</v>
      </c>
      <c r="I274" s="5" t="n">
        <v>281.36</v>
      </c>
      <c r="J274" s="5" t="n">
        <v>107</v>
      </c>
      <c r="K274" s="5" t="n">
        <v>106.5</v>
      </c>
      <c r="L274" s="5" t="n">
        <v>113.8</v>
      </c>
      <c r="M274" s="5" t="n">
        <v>2.56</v>
      </c>
    </row>
    <row r="275">
      <c r="A275" s="3" t="n">
        <v>44835</v>
      </c>
      <c r="B275" s="4" t="inlineStr">
        <is>
          <t>2022m10</t>
        </is>
      </c>
      <c r="C275" s="5" t="n">
        <v>59.72314285714285</v>
      </c>
      <c r="D275" s="6" t="n">
        <v>21</v>
      </c>
      <c r="E275" s="5" t="n">
        <v>1424.3</v>
      </c>
      <c r="F275" s="5" t="n">
        <v>93.33190476190477</v>
      </c>
      <c r="G275" s="5" t="n">
        <v>98.3363437586092</v>
      </c>
      <c r="H275" s="5" t="n">
        <v>23.98947368421053</v>
      </c>
      <c r="I275" s="5" t="n">
        <v>299.58</v>
      </c>
      <c r="J275" s="5" t="n">
        <v>104.1</v>
      </c>
      <c r="K275" s="5" t="n">
        <v>107</v>
      </c>
      <c r="L275" s="5" t="n">
        <v>117.5</v>
      </c>
      <c r="M275" s="5" t="n">
        <v>3.08</v>
      </c>
    </row>
    <row r="276">
      <c r="A276" s="3" t="n">
        <v>44866</v>
      </c>
      <c r="B276" s="4" t="inlineStr">
        <is>
          <t>2022m11</t>
        </is>
      </c>
      <c r="C276" s="5" t="n">
        <v>57.85186363636364</v>
      </c>
      <c r="D276" s="6" t="n">
        <v>22</v>
      </c>
      <c r="E276" s="5" t="n">
        <v>1318.8</v>
      </c>
      <c r="F276" s="5" t="n">
        <v>91.41545454545455</v>
      </c>
      <c r="G276" s="5" t="n">
        <v>96.6809399855444</v>
      </c>
      <c r="H276" s="5" t="n">
        <v>19.56636363636364</v>
      </c>
      <c r="I276" s="5" t="n">
        <v>321</v>
      </c>
      <c r="J276" s="5" t="n">
        <v>104.5</v>
      </c>
      <c r="K276" s="5" t="n">
        <v>103.6</v>
      </c>
      <c r="L276" s="5" t="n">
        <v>117</v>
      </c>
      <c r="M276" s="5" t="n">
        <v>3.78</v>
      </c>
    </row>
    <row r="277">
      <c r="A277" s="3" t="n">
        <v>44896</v>
      </c>
      <c r="B277" s="4" t="inlineStr">
        <is>
          <t>2022m12</t>
        </is>
      </c>
      <c r="C277" s="5" t="n">
        <v>52.97366666666666</v>
      </c>
      <c r="D277" s="6" t="n">
        <v>21</v>
      </c>
      <c r="E277" s="5" t="n">
        <v>1264.5</v>
      </c>
      <c r="F277" s="5" t="n">
        <v>80.92400000000001</v>
      </c>
      <c r="G277" s="5" t="n">
        <v>93.17152844749241</v>
      </c>
      <c r="H277" s="5" t="n">
        <v>17.75714285714286</v>
      </c>
      <c r="I277" s="5" t="n">
        <v>291.1</v>
      </c>
      <c r="J277" s="5" t="n">
        <v>100.6</v>
      </c>
      <c r="K277" s="5" t="n">
        <v>104.3</v>
      </c>
      <c r="L277" s="5" t="n">
        <v>115</v>
      </c>
      <c r="M277" s="5" t="n">
        <v>4.1</v>
      </c>
    </row>
    <row r="278">
      <c r="A278" s="3" t="n">
        <v>44927</v>
      </c>
      <c r="B278" s="4" t="inlineStr">
        <is>
          <t>2023m1</t>
        </is>
      </c>
      <c r="C278" s="5" t="n">
        <v>44.74352631578947</v>
      </c>
      <c r="D278" s="6" t="n">
        <v>19</v>
      </c>
      <c r="E278" s="5" t="n">
        <v>1231.9</v>
      </c>
      <c r="F278" s="5" t="n">
        <v>82.50142857142858</v>
      </c>
      <c r="G278" s="5" t="n">
        <v>94.64900988761489</v>
      </c>
      <c r="H278" s="5" t="n">
        <v>17.5685</v>
      </c>
      <c r="I278" s="5" t="n">
        <v>317.26</v>
      </c>
      <c r="J278" s="5" t="n">
        <v>103</v>
      </c>
      <c r="K278" s="5" t="n">
        <v>102.1</v>
      </c>
      <c r="L278" s="5" t="n">
        <v>105</v>
      </c>
      <c r="M278" s="5" t="n">
        <v>4.33</v>
      </c>
    </row>
    <row r="279">
      <c r="A279" s="3" t="n">
        <v>44958</v>
      </c>
      <c r="B279" s="4" t="inlineStr">
        <is>
          <t>2023m2</t>
        </is>
      </c>
      <c r="C279" s="5" t="n">
        <v>42.427</v>
      </c>
      <c r="D279" s="6" t="n">
        <v>20</v>
      </c>
      <c r="E279" s="5" t="n">
        <v>1322.6</v>
      </c>
      <c r="F279" s="5" t="n">
        <v>82.58500000000001</v>
      </c>
      <c r="G279" s="5" t="n">
        <v>95.20901288235611</v>
      </c>
      <c r="H279" s="5" t="n">
        <v>18.1635</v>
      </c>
      <c r="I279" s="5" t="n">
        <v>314.8</v>
      </c>
      <c r="J279" s="5" t="n">
        <v>102.1</v>
      </c>
      <c r="K279" s="5" t="n">
        <v>107.3</v>
      </c>
      <c r="L279" s="5" t="n">
        <v>110.3</v>
      </c>
      <c r="M279" s="5" t="n">
        <v>4.57</v>
      </c>
    </row>
    <row r="280">
      <c r="A280" s="3" t="n">
        <v>44986</v>
      </c>
      <c r="B280" s="4" t="inlineStr">
        <is>
          <t>2023m3</t>
        </is>
      </c>
      <c r="C280" s="5" t="n">
        <v>43.46534782608695</v>
      </c>
      <c r="D280" s="6" t="n">
        <v>23</v>
      </c>
      <c r="E280" s="5" t="n">
        <v>1301.9</v>
      </c>
      <c r="F280" s="5" t="n">
        <v>78.43434782608696</v>
      </c>
      <c r="G280" s="5" t="n">
        <v>95.43116102449861</v>
      </c>
      <c r="H280" s="5" t="n">
        <v>17.90454545454545</v>
      </c>
      <c r="I280" s="5" t="n">
        <v>322.03</v>
      </c>
      <c r="J280" s="5" t="n">
        <v>106</v>
      </c>
      <c r="K280" s="5" t="n">
        <v>105.2</v>
      </c>
      <c r="L280" s="5" t="n">
        <v>108.4</v>
      </c>
      <c r="M280" s="5" t="n">
        <v>4.65</v>
      </c>
    </row>
    <row r="281">
      <c r="A281" s="3" t="n">
        <v>45017</v>
      </c>
      <c r="B281" s="4" t="inlineStr">
        <is>
          <t>2023m4</t>
        </is>
      </c>
      <c r="C281" s="5" t="n">
        <v>45.1419</v>
      </c>
      <c r="D281" s="6" t="n">
        <v>20</v>
      </c>
      <c r="E281" s="5" t="n">
        <v>1337.7</v>
      </c>
      <c r="F281" s="5" t="n">
        <v>84.63833333333334</v>
      </c>
      <c r="G281" s="5" t="n">
        <v>93.55010004055821</v>
      </c>
      <c r="H281" s="5" t="n">
        <v>15.2445</v>
      </c>
      <c r="I281" s="5" t="n">
        <v>326.46</v>
      </c>
      <c r="J281" s="5" t="n">
        <v>104.3</v>
      </c>
      <c r="K281" s="5" t="n">
        <v>104.2</v>
      </c>
      <c r="L281" s="5" t="n">
        <v>109.6</v>
      </c>
      <c r="M281" s="5" t="n">
        <v>4.83</v>
      </c>
    </row>
    <row r="282">
      <c r="A282" s="3" t="n">
        <v>45047</v>
      </c>
      <c r="B282" s="4" t="inlineStr">
        <is>
          <t>2023m5</t>
        </is>
      </c>
      <c r="C282" s="5" t="n">
        <v>43.081</v>
      </c>
      <c r="D282" s="6" t="n">
        <v>22</v>
      </c>
      <c r="E282" s="5" t="n">
        <v>1327.2</v>
      </c>
      <c r="F282" s="5" t="n">
        <v>75.46599999999999</v>
      </c>
      <c r="G282" s="5" t="n">
        <v>96.2363806520776</v>
      </c>
      <c r="H282" s="5" t="n">
        <v>14.461</v>
      </c>
      <c r="I282" s="5" t="n">
        <v>339.12</v>
      </c>
      <c r="J282" s="5" t="n">
        <v>108.6</v>
      </c>
      <c r="K282" s="5" t="n">
        <v>104.8</v>
      </c>
      <c r="L282" s="5" t="n">
        <v>109.5</v>
      </c>
      <c r="M282" s="5" t="n">
        <v>5.06</v>
      </c>
    </row>
    <row r="283">
      <c r="A283" s="3" t="n">
        <v>45078</v>
      </c>
      <c r="B283" s="4" t="inlineStr">
        <is>
          <t>2023m6</t>
        </is>
      </c>
      <c r="C283" s="5" t="n">
        <v>35.51040909090909</v>
      </c>
      <c r="D283" s="6" t="n">
        <v>22</v>
      </c>
      <c r="E283" s="5" t="n">
        <v>1317.7</v>
      </c>
      <c r="F283" s="5" t="n">
        <v>74.83909090909091</v>
      </c>
      <c r="G283" s="5" t="n">
        <v>99.1744233512326</v>
      </c>
      <c r="H283" s="5" t="n">
        <v>13.38619047619048</v>
      </c>
      <c r="I283" s="5" t="n">
        <v>337.95</v>
      </c>
      <c r="J283" s="5" t="n">
        <v>105.9</v>
      </c>
      <c r="K283" s="5" t="n">
        <v>106</v>
      </c>
      <c r="L283" s="5" t="n">
        <v>113.6</v>
      </c>
      <c r="M283" s="5" t="n">
        <v>5.08</v>
      </c>
    </row>
    <row r="284">
      <c r="A284" s="3" t="n">
        <v>45108</v>
      </c>
      <c r="B284" s="4" t="inlineStr">
        <is>
          <t>2023m7</t>
        </is>
      </c>
      <c r="C284" s="5" t="n">
        <v>30.84885714285715</v>
      </c>
      <c r="D284" s="6" t="n">
        <v>21</v>
      </c>
      <c r="E284" s="5" t="n">
        <v>1274.6</v>
      </c>
      <c r="F284" s="5" t="n">
        <v>80.10809523809523</v>
      </c>
      <c r="G284" s="5" t="n">
        <v>96.48567964006909</v>
      </c>
      <c r="H284" s="5" t="n">
        <v>13.53952380952381</v>
      </c>
      <c r="I284" s="5" t="n">
        <v>345.62</v>
      </c>
      <c r="J284" s="5" t="n">
        <v>104.1</v>
      </c>
      <c r="K284" s="5" t="n">
        <v>102.5</v>
      </c>
      <c r="L284" s="5" t="n">
        <v>101.8</v>
      </c>
      <c r="M284" s="5" t="n">
        <v>5.12</v>
      </c>
    </row>
    <row r="285">
      <c r="A285" s="3" t="n">
        <v>45139</v>
      </c>
      <c r="B285" s="4" t="inlineStr">
        <is>
          <t>2023m8</t>
        </is>
      </c>
      <c r="C285" s="5" t="n">
        <v>30.65030434782609</v>
      </c>
      <c r="D285" s="6" t="n">
        <v>23</v>
      </c>
      <c r="E285" s="5" t="n">
        <v>1321.8</v>
      </c>
      <c r="F285" s="5" t="n">
        <v>86.14772727272727</v>
      </c>
      <c r="G285" s="5" t="n">
        <v>98.3116936862708</v>
      </c>
      <c r="H285" s="5" t="n">
        <v>14.685</v>
      </c>
      <c r="I285" s="5" t="n">
        <v>334.75</v>
      </c>
      <c r="J285" s="5" t="n">
        <v>108.4</v>
      </c>
      <c r="K285" s="5" t="n">
        <v>103.7</v>
      </c>
      <c r="L285" s="5" t="n">
        <v>102.1</v>
      </c>
      <c r="M285" s="5" t="n">
        <v>5.33</v>
      </c>
    </row>
    <row r="286">
      <c r="A286" s="3" t="n">
        <v>45170</v>
      </c>
      <c r="B286" s="4" t="inlineStr">
        <is>
          <t>2023m9</t>
        </is>
      </c>
      <c r="C286" s="5" t="n">
        <v>31.63509523809524</v>
      </c>
      <c r="D286" s="6" t="n">
        <v>21</v>
      </c>
      <c r="E286" s="5" t="n">
        <v>1349.3</v>
      </c>
      <c r="F286" s="5" t="n">
        <v>93.72238095238096</v>
      </c>
      <c r="G286" s="5" t="n">
        <v>99.069963362287</v>
      </c>
      <c r="H286" s="5" t="n">
        <v>13.00473684210526</v>
      </c>
      <c r="I286" s="5" t="n">
        <v>326.71</v>
      </c>
      <c r="J286" s="5" t="n">
        <v>110.9</v>
      </c>
      <c r="K286" s="5" t="n">
        <v>103.7</v>
      </c>
      <c r="L286" s="5" t="n">
        <v>107.4</v>
      </c>
      <c r="M286" s="5" t="n">
        <v>5.33</v>
      </c>
    </row>
    <row r="287">
      <c r="A287" s="3" t="n">
        <v>45200</v>
      </c>
      <c r="B287" s="4" t="inlineStr">
        <is>
          <t>2023m10</t>
        </is>
      </c>
      <c r="C287" s="5" t="n">
        <v>39.95686363636364</v>
      </c>
      <c r="D287" s="6" t="n">
        <v>22</v>
      </c>
      <c r="E287" s="5" t="n">
        <v>1350.5</v>
      </c>
      <c r="F287" s="5" t="n">
        <v>90.59590909090909</v>
      </c>
      <c r="G287" s="5" t="n">
        <v>103.097349306914</v>
      </c>
      <c r="H287" s="5" t="n">
        <v>18.09947368421053</v>
      </c>
      <c r="I287" s="5" t="n">
        <v>305.56</v>
      </c>
      <c r="J287" s="5" t="n">
        <v>109.1</v>
      </c>
      <c r="K287" s="5" t="n">
        <v>104</v>
      </c>
      <c r="L287" s="5" t="n">
        <v>111.1</v>
      </c>
      <c r="M287" s="5" t="n">
        <v>5.33</v>
      </c>
    </row>
    <row r="288">
      <c r="A288" s="3" t="n">
        <v>45231</v>
      </c>
      <c r="B288" s="4" t="inlineStr">
        <is>
          <t>2023m11</t>
        </is>
      </c>
      <c r="C288" s="5" t="n">
        <v>33.89063636363637</v>
      </c>
      <c r="D288" s="6" t="n">
        <v>22</v>
      </c>
      <c r="E288" s="5" t="n">
        <v>1290</v>
      </c>
      <c r="F288" s="5" t="n">
        <v>82.94</v>
      </c>
      <c r="G288" s="5" t="n">
        <v>97.7705089198148</v>
      </c>
      <c r="H288" s="5" t="n">
        <v>16.62318181818182</v>
      </c>
      <c r="I288" s="5" t="n">
        <v>338.43</v>
      </c>
      <c r="J288" s="5" t="n">
        <v>111.2</v>
      </c>
      <c r="K288" s="5" t="n">
        <v>103.8</v>
      </c>
      <c r="L288" s="5" t="n">
        <v>108.2</v>
      </c>
      <c r="M288" s="5" t="n">
        <v>5.33</v>
      </c>
    </row>
    <row r="289">
      <c r="A289" s="3" t="n">
        <v>45261</v>
      </c>
      <c r="B289" s="4" t="inlineStr">
        <is>
          <t>2023m12</t>
        </is>
      </c>
      <c r="C289" s="5" t="n">
        <v>27.36445</v>
      </c>
      <c r="D289" s="6" t="n">
        <v>20</v>
      </c>
      <c r="E289" s="5" t="n">
        <v>1288</v>
      </c>
      <c r="F289" s="5" t="n">
        <v>77.63105263157895</v>
      </c>
      <c r="G289" s="5" t="n">
        <v>99.26617140199571</v>
      </c>
      <c r="H289" s="5" t="n">
        <v>14.99631578947368</v>
      </c>
      <c r="I289" s="5" t="n">
        <v>357.99</v>
      </c>
      <c r="J289" s="5" t="n">
        <v>109.9</v>
      </c>
      <c r="K289" s="5" t="n">
        <v>103.5</v>
      </c>
      <c r="L289" s="5" t="n">
        <v>112.9</v>
      </c>
      <c r="M289" s="5" t="n">
        <v>5.33</v>
      </c>
    </row>
    <row r="290">
      <c r="A290" s="3" t="n">
        <v>45292</v>
      </c>
      <c r="B290" s="4" t="inlineStr">
        <is>
          <t>2024m1</t>
        </is>
      </c>
      <c r="C290" s="5" t="n">
        <v>29.23404545454546</v>
      </c>
      <c r="D290" s="6" t="n">
        <v>22</v>
      </c>
      <c r="E290" s="5" t="n">
        <v>1334.6</v>
      </c>
      <c r="F290" s="5" t="n">
        <v>80.12409090909091</v>
      </c>
      <c r="G290" s="5" t="n">
        <v>99.72909241125009</v>
      </c>
      <c r="H290" s="5" t="n">
        <v>17.53727272727273</v>
      </c>
      <c r="I290" s="5" t="n">
        <v>336.24</v>
      </c>
      <c r="J290" s="5" t="n">
        <v>108.9</v>
      </c>
      <c r="K290" s="5" t="n">
        <v>104.9</v>
      </c>
      <c r="L290" s="5" t="n">
        <v>103</v>
      </c>
      <c r="M290" s="5" t="n">
        <v>5.33</v>
      </c>
    </row>
    <row r="291">
      <c r="A291" s="3" t="n">
        <v>45323</v>
      </c>
      <c r="B291" s="4" t="inlineStr">
        <is>
          <t>2024m2</t>
        </is>
      </c>
      <c r="C291" s="5" t="n">
        <v>32.449</v>
      </c>
      <c r="D291" s="6" t="n">
        <v>19</v>
      </c>
      <c r="E291" s="5" t="n">
        <v>1331.5</v>
      </c>
      <c r="F291" s="5" t="n">
        <v>83.47809523809524</v>
      </c>
      <c r="G291" s="5" t="n">
        <v>98.83814170161681</v>
      </c>
      <c r="H291" s="5" t="n">
        <v>17.69105263157895</v>
      </c>
      <c r="I291" s="5" t="n">
        <v>355.57</v>
      </c>
      <c r="J291" s="5" t="n">
        <v>111.4</v>
      </c>
      <c r="K291" s="5" t="n">
        <v>101</v>
      </c>
      <c r="L291" s="5" t="n">
        <v>113.2</v>
      </c>
      <c r="M291" s="5" t="n">
        <v>5.33</v>
      </c>
    </row>
    <row r="292">
      <c r="A292" s="3" t="n">
        <v>45352</v>
      </c>
      <c r="B292" s="4" t="inlineStr">
        <is>
          <t>2024m3</t>
        </is>
      </c>
      <c r="C292" s="5" t="n">
        <v>34.51504761904762</v>
      </c>
      <c r="D292" s="6" t="n">
        <v>21</v>
      </c>
      <c r="E292" s="5" t="n">
        <v>1347.2</v>
      </c>
      <c r="F292" s="5" t="n">
        <v>85.4085</v>
      </c>
      <c r="G292" s="5" t="n">
        <v>100.02603389703</v>
      </c>
      <c r="H292" s="5" t="n">
        <v>17.168</v>
      </c>
      <c r="I292" s="5" t="n">
        <v>374.63</v>
      </c>
      <c r="J292" s="5" t="n">
        <v>108</v>
      </c>
      <c r="K292" s="5" t="n">
        <v>101.8</v>
      </c>
      <c r="L292" s="5" t="n">
        <v>105.9</v>
      </c>
      <c r="M292" s="5" t="n">
        <v>5.33</v>
      </c>
    </row>
    <row r="293">
      <c r="A293" s="3" t="n">
        <v>45383</v>
      </c>
      <c r="B293" s="4" t="inlineStr">
        <is>
          <t>2024m4</t>
        </is>
      </c>
      <c r="C293" s="5" t="n">
        <v>38.56745454545455</v>
      </c>
      <c r="D293" s="6" t="n">
        <v>22</v>
      </c>
      <c r="E293" s="5" t="n">
        <v>1382</v>
      </c>
      <c r="F293" s="5" t="n">
        <v>89.93809523809524</v>
      </c>
      <c r="G293" s="5" t="n">
        <v>100.260888995633</v>
      </c>
      <c r="H293" s="5" t="n">
        <v>18.48904761904762</v>
      </c>
      <c r="I293" s="5" t="n">
        <v>365.13</v>
      </c>
      <c r="J293" s="5" t="n">
        <v>111.3</v>
      </c>
      <c r="K293" s="5" t="n">
        <v>101.6</v>
      </c>
      <c r="L293" s="5" t="n">
        <v>109.6</v>
      </c>
      <c r="M293" s="5" t="n">
        <v>5.33</v>
      </c>
    </row>
    <row r="294">
      <c r="A294" s="3" t="n">
        <v>45413</v>
      </c>
      <c r="B294" s="4" t="inlineStr">
        <is>
          <t>2024m5</t>
        </is>
      </c>
      <c r="C294" s="5" t="n">
        <v>34.74926086956522</v>
      </c>
      <c r="D294" s="6" t="n">
        <v>23</v>
      </c>
      <c r="E294" s="5" t="n">
        <v>1384.5</v>
      </c>
      <c r="F294" s="5" t="n">
        <v>81.74619047619048</v>
      </c>
      <c r="G294" s="5" t="n">
        <v>99.40223914633469</v>
      </c>
      <c r="H294" s="5" t="n">
        <v>16.2475</v>
      </c>
      <c r="I294" s="5" t="n">
        <v>358.21</v>
      </c>
      <c r="J294" s="5" t="n">
        <v>111.9</v>
      </c>
      <c r="K294" s="5" t="n">
        <v>101.9</v>
      </c>
      <c r="L294" s="5" t="n">
        <v>104.1</v>
      </c>
      <c r="M294" s="5" t="n">
        <v>5.33</v>
      </c>
    </row>
    <row r="295">
      <c r="A295" s="3" t="n">
        <v>45444</v>
      </c>
      <c r="B295" s="4" t="inlineStr">
        <is>
          <t>2024m6</t>
        </is>
      </c>
      <c r="C295" s="5" t="n">
        <v>35.7114</v>
      </c>
      <c r="D295" s="6" t="n">
        <v>20</v>
      </c>
      <c r="E295" s="5" t="n">
        <v>1376.7</v>
      </c>
      <c r="F295" s="5" t="n">
        <v>82.24600000000001</v>
      </c>
      <c r="G295" s="5" t="n">
        <v>99.9557671856635</v>
      </c>
      <c r="H295" s="5" t="n">
        <v>16.66736842105263</v>
      </c>
      <c r="I295" s="5" t="n">
        <v>384.02</v>
      </c>
      <c r="J295" s="5" t="n">
        <v>110.7</v>
      </c>
      <c r="K295" s="5" t="n">
        <v>102.2</v>
      </c>
      <c r="L295" s="5" t="n">
        <v>109.6</v>
      </c>
      <c r="M295" s="5" t="n">
        <v>5.33</v>
      </c>
    </row>
    <row r="296">
      <c r="A296" s="3" t="n">
        <v>45474</v>
      </c>
      <c r="B296" s="4" t="inlineStr">
        <is>
          <t>2024m7</t>
        </is>
      </c>
      <c r="C296" s="5" t="n">
        <v>35.55504347826087</v>
      </c>
      <c r="D296" s="6" t="n">
        <v>23</v>
      </c>
      <c r="E296" s="5" t="n">
        <v>1376.5</v>
      </c>
      <c r="F296" s="5" t="n">
        <v>85.15304347826087</v>
      </c>
      <c r="G296" s="5" t="n">
        <v>96.20317994863071</v>
      </c>
      <c r="H296" s="5" t="n">
        <v>16.89217391304348</v>
      </c>
      <c r="I296" s="5" t="n">
        <v>380.49</v>
      </c>
      <c r="J296" s="5" t="n">
        <v>107.6</v>
      </c>
      <c r="K296" s="5" t="n">
        <v>101.4</v>
      </c>
      <c r="L296" s="5" t="n">
        <v>118.9</v>
      </c>
      <c r="M296" s="5" t="n">
        <v>5.33</v>
      </c>
    </row>
    <row r="297">
      <c r="A297" s="3" t="n">
        <v>45505</v>
      </c>
      <c r="B297" s="4" t="inlineStr">
        <is>
          <t>2024m8</t>
        </is>
      </c>
      <c r="C297" s="5" t="n">
        <v>35.00609090909091</v>
      </c>
      <c r="D297" s="6" t="n">
        <v>22</v>
      </c>
      <c r="E297" s="5" t="n">
        <v>1336</v>
      </c>
      <c r="F297" s="5" t="n">
        <v>80.35523809523809</v>
      </c>
      <c r="G297" s="5" t="n">
        <v>98.00113404463519</v>
      </c>
      <c r="H297" s="5" t="n">
        <v>24.29809523809524</v>
      </c>
      <c r="I297" s="5" t="n">
        <v>361.55</v>
      </c>
      <c r="J297" s="5" t="n">
        <v>113.3</v>
      </c>
      <c r="K297" s="5" t="n">
        <v>102</v>
      </c>
      <c r="L297" s="5" t="n">
        <v>109.6</v>
      </c>
      <c r="M297" s="5" t="n">
        <v>5.33</v>
      </c>
    </row>
    <row r="298">
      <c r="A298" s="3" t="n">
        <v>45536</v>
      </c>
      <c r="B298" s="4" t="inlineStr">
        <is>
          <t>2024m9</t>
        </is>
      </c>
      <c r="C298" s="5" t="n">
        <v>32.01928571428572</v>
      </c>
      <c r="D298" s="6" t="n">
        <v>21</v>
      </c>
      <c r="E298" s="5" t="n">
        <v>1307.8</v>
      </c>
      <c r="F298" s="5" t="n">
        <v>74.01666666666667</v>
      </c>
      <c r="G298" s="5" t="n">
        <v>98.3438761540159</v>
      </c>
      <c r="H298" s="5" t="n">
        <v>23.42388888888889</v>
      </c>
      <c r="I298" s="5" t="n">
        <v>344.76</v>
      </c>
      <c r="J298" s="5" t="n">
        <v>112.6</v>
      </c>
      <c r="K298" s="5" t="n">
        <v>103.4</v>
      </c>
      <c r="L298" s="5" t="n">
        <v>114.5</v>
      </c>
      <c r="M298" s="5" t="n">
        <v>5.13</v>
      </c>
    </row>
    <row r="299">
      <c r="A299" s="3" t="n">
        <v>45566</v>
      </c>
      <c r="B299" s="4" t="inlineStr">
        <is>
          <t>2024m10</t>
        </is>
      </c>
      <c r="C299" s="5" t="n">
        <v>32.35530434782608</v>
      </c>
      <c r="D299" s="6" t="n">
        <v>23</v>
      </c>
      <c r="E299" s="5" t="n">
        <v>1379.9</v>
      </c>
      <c r="F299" s="5" t="n">
        <v>75.63260869565217</v>
      </c>
      <c r="G299" s="5" t="n">
        <v>99.4174460998905</v>
      </c>
      <c r="H299" s="5" t="n">
        <v>22.5235</v>
      </c>
      <c r="I299" s="5" t="n">
        <v>339.32</v>
      </c>
      <c r="J299" s="5" t="n">
        <v>113.9</v>
      </c>
      <c r="K299" s="5" t="n">
        <v>102.1</v>
      </c>
      <c r="L299" s="5" t="n">
        <v>114.7</v>
      </c>
      <c r="M299" s="5" t="n">
        <v>4.83</v>
      </c>
    </row>
    <row r="300">
      <c r="A300" s="3" t="n">
        <v>45597</v>
      </c>
      <c r="B300" s="4" t="inlineStr">
        <is>
          <t>2024m11</t>
        </is>
      </c>
      <c r="C300" s="5" t="n">
        <v>33.67519047619047</v>
      </c>
      <c r="D300" s="6" t="n">
        <v>21</v>
      </c>
      <c r="E300" s="5" t="n">
        <v>1394.7</v>
      </c>
      <c r="F300" s="5" t="n">
        <v>74.3452380952381</v>
      </c>
      <c r="G300" s="5" t="n">
        <v>98.5686352288551</v>
      </c>
      <c r="H300" s="5" t="n">
        <v>20.5247619047619</v>
      </c>
      <c r="I300" s="5" t="n">
        <v>325.45</v>
      </c>
      <c r="J300" s="5" t="n">
        <v>110.9</v>
      </c>
      <c r="K300" s="5" t="n">
        <v>101.5</v>
      </c>
      <c r="L300" s="5" t="n">
        <v>110.5</v>
      </c>
      <c r="M300" s="5" t="n">
        <v>4.64</v>
      </c>
    </row>
    <row r="301">
      <c r="A301" s="3" t="n">
        <v>45627</v>
      </c>
      <c r="B301" s="4" t="inlineStr">
        <is>
          <t>2024m12</t>
        </is>
      </c>
      <c r="C301" s="5" t="n">
        <v>36.31286363636364</v>
      </c>
      <c r="D301" s="6" t="n">
        <v>22</v>
      </c>
      <c r="E301" s="5" t="n">
        <v>1472.5</v>
      </c>
      <c r="F301" s="5" t="n">
        <v>73.8595</v>
      </c>
      <c r="G301" s="5" t="n">
        <v>99.6539779868088</v>
      </c>
      <c r="H301" s="5" t="n">
        <v>20.385</v>
      </c>
      <c r="I301" s="5" t="n">
        <v>317.82</v>
      </c>
      <c r="J301" s="5" t="n">
        <v>115.1</v>
      </c>
      <c r="K301" s="5" t="n">
        <v>101.6</v>
      </c>
      <c r="L301" s="5" t="n">
        <v>124</v>
      </c>
      <c r="M301" s="5" t="n">
        <v>4.48</v>
      </c>
    </row>
    <row r="302">
      <c r="A302" s="3" t="n">
        <v>45658</v>
      </c>
      <c r="B302" s="4" t="inlineStr">
        <is>
          <t>2025m1</t>
        </is>
      </c>
      <c r="C302" s="5" t="n">
        <v>36.69773913043478</v>
      </c>
      <c r="D302" s="6" t="n">
        <v>23</v>
      </c>
      <c r="E302" s="5" t="n">
        <v>1452.7</v>
      </c>
      <c r="F302" s="5" t="n">
        <v>79.27045454545454</v>
      </c>
      <c r="G302" s="5" t="n">
        <v>95.17517178470359</v>
      </c>
      <c r="H302" s="5" t="n">
        <v>19.20888888888889</v>
      </c>
      <c r="I302" s="5" t="n">
        <v>333.36</v>
      </c>
      <c r="J302" s="5" t="n">
        <v>113.1</v>
      </c>
      <c r="K302" s="5" t="n">
        <v>101.6</v>
      </c>
      <c r="L302" s="5" t="n">
        <v>105.5</v>
      </c>
      <c r="M302" s="5" t="n">
        <v>4.33</v>
      </c>
    </row>
    <row r="303">
      <c r="A303" s="3" t="n">
        <v>45689</v>
      </c>
      <c r="B303" s="4" t="inlineStr">
        <is>
          <t>2025m2</t>
        </is>
      </c>
      <c r="C303" s="5" t="n">
        <v>30.5957</v>
      </c>
      <c r="D303" s="6" t="n">
        <v>20</v>
      </c>
      <c r="E303" s="5" t="n">
        <v>1463.4</v>
      </c>
      <c r="F303" s="5" t="n">
        <v>75.438</v>
      </c>
      <c r="G303" s="5" t="n">
        <v>95.8215025740294</v>
      </c>
      <c r="H303" s="5" t="n">
        <v>19.406</v>
      </c>
      <c r="I303" s="5" t="n">
        <v>334.27</v>
      </c>
      <c r="J303" s="5" t="n">
        <v>113.4</v>
      </c>
      <c r="K303" s="5" t="n">
        <v>103.2</v>
      </c>
      <c r="L303" s="5" t="n">
        <v>115</v>
      </c>
      <c r="M303" s="5" t="n">
        <v>4.33</v>
      </c>
    </row>
    <row r="304">
      <c r="A304" s="3" t="n">
        <v>45717</v>
      </c>
      <c r="B304" s="4" t="inlineStr">
        <is>
          <t>2025m3</t>
        </is>
      </c>
      <c r="C304" s="5" t="n">
        <v>32.71566666666666</v>
      </c>
      <c r="D304" s="6" t="n">
        <v>21</v>
      </c>
      <c r="E304" s="5" t="n">
        <v>1472.9</v>
      </c>
      <c r="F304" s="5" t="n">
        <v>72.73285714285714</v>
      </c>
      <c r="G304" s="5" t="n">
        <v>97.9766615928818</v>
      </c>
      <c r="H304" s="5" t="n">
        <v>21.5045</v>
      </c>
      <c r="I304" s="5" t="n">
        <v>332.4</v>
      </c>
      <c r="J304" s="5" t="n">
        <v>115.9</v>
      </c>
      <c r="K304" s="5" t="n">
        <v>102.1</v>
      </c>
      <c r="L304" s="5" t="n">
        <v>120.9</v>
      </c>
      <c r="M304" s="5" t="n">
        <v>4.33</v>
      </c>
    </row>
    <row r="305">
      <c r="A305" s="3" t="n">
        <v>45748</v>
      </c>
      <c r="B305" s="4" t="inlineStr">
        <is>
          <t>2025m4</t>
        </is>
      </c>
      <c r="C305" s="5" t="n">
        <v>36.73372727272727</v>
      </c>
      <c r="D305" s="6" t="n">
        <v>22</v>
      </c>
      <c r="E305" s="5" t="n">
        <v>1421</v>
      </c>
      <c r="F305" s="5" t="n">
        <v>68.1345</v>
      </c>
      <c r="G305" s="5" t="n">
        <v>99.01519310651079</v>
      </c>
      <c r="H305" s="5" t="n">
        <v>26.88772727272727</v>
      </c>
      <c r="I305" s="5" t="n">
        <v>338.74</v>
      </c>
      <c r="J305" s="5" t="n">
        <v>115.8</v>
      </c>
      <c r="K305" s="5" t="n">
        <v>101.6</v>
      </c>
      <c r="L305" s="5" t="n">
        <v>117.5</v>
      </c>
      <c r="M305" s="5" t="n">
        <v>4.33</v>
      </c>
    </row>
    <row r="306">
      <c r="A306" s="3" t="n">
        <v>45778</v>
      </c>
      <c r="B306" s="4" t="inlineStr">
        <is>
          <t>2025m5</t>
        </is>
      </c>
      <c r="C306" s="5" t="n">
        <v>30.54472727272728</v>
      </c>
      <c r="D306" s="6" t="n">
        <v>22</v>
      </c>
      <c r="E306" s="5" t="n">
        <v>1380.1</v>
      </c>
      <c r="F306" s="5" t="n">
        <v>64.453</v>
      </c>
      <c r="G306" s="5" t="n">
        <v>99.4753880927442</v>
      </c>
      <c r="H306" s="5" t="n">
        <v>19.74947368421053</v>
      </c>
      <c r="I306" s="5" t="n">
        <v>359.62</v>
      </c>
      <c r="J306" s="5" t="n">
        <v>113.3</v>
      </c>
      <c r="K306" s="5" t="n">
        <v>101.6</v>
      </c>
      <c r="L306" s="5" t="n">
        <v>112.7</v>
      </c>
      <c r="M306" s="5" t="n">
        <v>4.33</v>
      </c>
    </row>
    <row r="307">
      <c r="A307" s="3" t="n">
        <v>45809</v>
      </c>
      <c r="B307" s="4" t="inlineStr">
        <is>
          <t>2025m6</t>
        </is>
      </c>
      <c r="C307" s="5" t="n">
        <v>27.46571428571428</v>
      </c>
      <c r="D307" s="6" t="n">
        <v>21</v>
      </c>
      <c r="E307" s="5" t="n">
        <v>1350</v>
      </c>
      <c r="F307" s="5" t="n">
        <v>71.4447619047619</v>
      </c>
      <c r="G307" s="5" t="n">
        <v>99.953355600156</v>
      </c>
      <c r="H307" s="5" t="n">
        <v>24.25684210526316</v>
      </c>
      <c r="I307" s="5" t="n">
        <v>414.6</v>
      </c>
      <c r="J307" s="5" t="n">
        <v>116.4</v>
      </c>
      <c r="K307" s="5" t="n">
        <v>102</v>
      </c>
      <c r="L307" s="5" t="n">
        <v>112.2</v>
      </c>
      <c r="M307" s="5" t="n">
        <v>4.33</v>
      </c>
    </row>
    <row r="308">
      <c r="A308" s="3" t="n">
        <v>45839</v>
      </c>
      <c r="B308" s="4" t="inlineStr">
        <is>
          <t>2025m7</t>
        </is>
      </c>
      <c r="C308" s="5" t="n">
        <v>24.33473913043478</v>
      </c>
      <c r="D308" s="6" t="n">
        <v>23</v>
      </c>
      <c r="E308" s="5" t="n">
        <v>1387</v>
      </c>
      <c r="F308" s="5" t="n">
        <v>71.04130434782608</v>
      </c>
      <c r="G308" s="5" t="n">
        <v>101.66939325192</v>
      </c>
      <c r="H308" s="5" t="n">
        <v>22.3904347826087</v>
      </c>
      <c r="I308" s="5" t="n">
        <v>438.6</v>
      </c>
      <c r="J308" s="5" t="n">
        <v>115.5</v>
      </c>
      <c r="K308" s="5" t="n">
        <v>104.1</v>
      </c>
      <c r="L308" s="5" t="n">
        <v>114.1</v>
      </c>
      <c r="M308" s="5" t="n">
        <v>4.33</v>
      </c>
    </row>
    <row r="309">
      <c r="A309" s="3" t="n">
        <v>45870</v>
      </c>
      <c r="B309" s="4" t="inlineStr">
        <is>
          <t>2025m8</t>
        </is>
      </c>
      <c r="C309" s="5" t="n">
        <v>20.95742857142857</v>
      </c>
      <c r="D309" s="6" t="n">
        <v>21</v>
      </c>
      <c r="E309" s="5" t="n">
        <v>1390.1</v>
      </c>
      <c r="F309" s="5" t="n">
        <v>67.87</v>
      </c>
      <c r="G309" s="5" t="n">
        <v>102.898937074654</v>
      </c>
      <c r="H309" s="5" t="n">
        <v>21.2415</v>
      </c>
      <c r="I309" s="5" t="n">
        <v>430.12</v>
      </c>
      <c r="J309" s="5" t="n">
        <v>117.4</v>
      </c>
      <c r="K309" s="5" t="n">
        <v>101.8</v>
      </c>
      <c r="L309" s="5" t="n">
        <v>110.6</v>
      </c>
      <c r="M309" s="5" t="n">
        <v>4.33</v>
      </c>
    </row>
    <row r="310">
      <c r="A310" s="3" t="n">
        <v>45901</v>
      </c>
      <c r="B310" s="4" t="inlineStr">
        <is>
          <t>2025m9</t>
        </is>
      </c>
      <c r="C310" s="5" t="n">
        <v>20.28377272727273</v>
      </c>
      <c r="D310" s="6" t="n">
        <v>22</v>
      </c>
      <c r="E310" s="5" t="n">
        <v>1402.9</v>
      </c>
      <c r="F310" s="5" t="n">
        <v>67.98545454545454</v>
      </c>
      <c r="G310" s="5" t="n">
        <v>102.94263790977</v>
      </c>
      <c r="H310" s="5" t="n">
        <v>20.30954545454545</v>
      </c>
      <c r="I310" s="5" t="n">
        <v>474.03</v>
      </c>
      <c r="J310" s="5" t="n">
        <v>117.8</v>
      </c>
      <c r="K310" s="5" t="n">
        <v>102.9</v>
      </c>
      <c r="L310" s="5" t="n">
        <v>119.6</v>
      </c>
      <c r="M310" s="5" t="n">
        <v>4.22</v>
      </c>
    </row>
    <row r="311">
      <c r="A311" s="3" t="n">
        <v>45931</v>
      </c>
      <c r="B311" s="4" t="inlineStr">
        <is>
          <t>2025m10</t>
        </is>
      </c>
      <c r="C311" s="5" t="n">
        <v>23.77708695652174</v>
      </c>
      <c r="D311" s="6" t="n">
        <v>23</v>
      </c>
      <c r="E311" s="5" t="n">
        <v>1424.4</v>
      </c>
      <c r="F311" s="5" t="n">
        <v>64.54347826086956</v>
      </c>
      <c r="G311" s="5" t="n">
        <v>99.44767415208381</v>
      </c>
      <c r="H311" s="5" t="n">
        <v>29.55111111111111</v>
      </c>
      <c r="I311" s="5" t="n">
        <v>579.46</v>
      </c>
      <c r="J311" s="5" t="n">
        <v>111.4</v>
      </c>
      <c r="K311" s="5" t="n">
        <v>105.8</v>
      </c>
      <c r="L311" s="5" t="n">
        <v>112</v>
      </c>
      <c r="M311" s="5" t="n">
        <v>4.09</v>
      </c>
    </row>
    <row r="312">
      <c r="A312" s="3" t="n">
        <v>45962</v>
      </c>
      <c r="B312" s="4" t="inlineStr">
        <is>
          <t>2025m11</t>
        </is>
      </c>
      <c r="C312" s="5" t="n">
        <v>22.76965</v>
      </c>
      <c r="D312" s="6" t="n">
        <v>20</v>
      </c>
      <c r="E312" s="5" t="n">
        <v>1470.6</v>
      </c>
      <c r="F312" s="5" t="n">
        <v>63.797</v>
      </c>
      <c r="G312" s="5" t="n">
        <v>101.150434347698</v>
      </c>
      <c r="H312" s="5" t="n">
        <v>36.84</v>
      </c>
      <c r="I312" s="5" t="n">
        <v>554</v>
      </c>
      <c r="J312" s="5" t="n">
        <v>112.6</v>
      </c>
      <c r="K312" s="5" t="n">
        <v>102.1</v>
      </c>
      <c r="L312" s="5" t="n">
        <v>111.9</v>
      </c>
      <c r="M312" s="5" t="n">
        <v>3.88</v>
      </c>
    </row>
    <row r="313">
      <c r="A313" s="3" t="n">
        <v>45992</v>
      </c>
      <c r="B313" s="4" t="inlineStr">
        <is>
          <t>2025m12</t>
        </is>
      </c>
      <c r="C313" s="5" t="n">
        <v>22.16126086956522</v>
      </c>
      <c r="D313" s="6" t="n">
        <v>23</v>
      </c>
      <c r="E313" s="5" t="n">
        <v>1439</v>
      </c>
      <c r="F313" s="5" t="n">
        <v>62.54428571428572</v>
      </c>
      <c r="G313" s="5" t="n">
        <v>101.964785798697</v>
      </c>
      <c r="H313" s="5" t="n">
        <v>27.63333333333333</v>
      </c>
      <c r="I313" s="5" t="n">
        <v>605.98</v>
      </c>
      <c r="J313" s="5" t="n">
        <v>114.7</v>
      </c>
      <c r="K313" s="5" t="n">
        <v>102.7</v>
      </c>
      <c r="L313" s="5" t="n">
        <v>107.3</v>
      </c>
      <c r="M313" s="5" t="n">
        <v>3.72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16" customWidth="1" min="1" max="1"/>
    <col width="7" customWidth="1" min="2" max="2"/>
    <col width="9" customWidth="1" min="3" max="3"/>
    <col width="34" customWidth="1" min="4" max="4"/>
    <col width="36" customWidth="1" min="5" max="5"/>
    <col width="36" customWidth="1" min="6" max="6"/>
    <col width="10" customWidth="1" min="7" max="7"/>
    <col width="34" customWidth="1" min="8" max="8"/>
    <col width="9" customWidth="1" min="9" max="9"/>
  </cols>
  <sheetData>
    <row r="1">
      <c r="A1" s="7" t="inlineStr">
        <is>
          <t>변수</t>
        </is>
      </c>
      <c r="B1" s="7" t="inlineStr">
        <is>
          <t>시트</t>
        </is>
      </c>
      <c r="C1" s="7" t="inlineStr">
        <is>
          <t>블록</t>
        </is>
      </c>
      <c r="D1" s="7" t="inlineStr">
        <is>
          <t>설명</t>
        </is>
      </c>
      <c r="E1" s="7" t="inlineStr">
        <is>
          <t>원천 파일</t>
        </is>
      </c>
      <c r="F1" s="7" t="inlineStr">
        <is>
          <t>계열 코드</t>
        </is>
      </c>
      <c r="G1" s="7" t="inlineStr">
        <is>
          <t>단위</t>
        </is>
      </c>
      <c r="H1" s="7" t="inlineStr">
        <is>
          <t>월 변환</t>
        </is>
      </c>
      <c r="I1" s="7" t="inlineStr">
        <is>
          <t>VAR 변환</t>
        </is>
      </c>
    </row>
    <row r="2">
      <c r="A2" s="4" t="inlineStr">
        <is>
          <t>lusip</t>
        </is>
      </c>
      <c r="B2" s="4" t="inlineStr">
        <is>
          <t>VAR</t>
        </is>
      </c>
      <c r="C2" s="4" t="inlineStr">
        <is>
          <t>글로벌</t>
        </is>
      </c>
      <c r="D2" s="4" t="inlineStr">
        <is>
          <t>미국 산업생산 (SA)</t>
        </is>
      </c>
      <c r="E2" s="4" t="inlineStr">
        <is>
          <t>0929_data.xlsx</t>
        </is>
      </c>
      <c r="F2" s="4" t="inlineStr">
        <is>
          <t>BBG IP Index</t>
        </is>
      </c>
      <c r="G2" s="4" t="inlineStr">
        <is>
          <t>지수</t>
        </is>
      </c>
      <c r="H2" s="4" t="inlineStr">
        <is>
          <t>월</t>
        </is>
      </c>
      <c r="I2" s="4" t="inlineStr">
        <is>
          <t>100×ln</t>
        </is>
      </c>
    </row>
    <row r="3">
      <c r="A3" s="4" t="inlineStr">
        <is>
          <t>lchn</t>
        </is>
      </c>
      <c r="B3" s="4" t="inlineStr">
        <is>
          <t>VAR</t>
        </is>
      </c>
      <c r="C3" s="4" t="inlineStr">
        <is>
          <t>글로벌</t>
        </is>
      </c>
      <c r="D3" s="4" t="inlineStr">
        <is>
          <t>중국 산업생산 (SA, 수입가중)</t>
        </is>
      </c>
      <c r="E3" s="4" t="inlineStr">
        <is>
          <t>CPB-world-trade-monitor-july-2026.xlsx</t>
        </is>
      </c>
      <c r="F3" s="4" t="inlineStr">
        <is>
          <t>ipz_cn_qnmi_sm</t>
        </is>
      </c>
      <c r="G3" s="4" t="inlineStr">
        <is>
          <t>2021=100</t>
        </is>
      </c>
      <c r="H3" s="4" t="inlineStr">
        <is>
          <t>월</t>
        </is>
      </c>
      <c r="I3" s="4" t="inlineStr">
        <is>
          <t>100×ln</t>
        </is>
      </c>
    </row>
    <row r="4">
      <c r="A4" s="4" t="inlineStr">
        <is>
          <t>loil</t>
        </is>
      </c>
      <c r="B4" s="4" t="inlineStr">
        <is>
          <t>VAR</t>
        </is>
      </c>
      <c r="C4" s="4" t="inlineStr">
        <is>
          <t>글로벌</t>
        </is>
      </c>
      <c r="D4" s="4" t="inlineStr">
        <is>
          <t>두바이유 현물</t>
        </is>
      </c>
      <c r="E4" s="4" t="inlineStr">
        <is>
          <t>0929_data.xlsx</t>
        </is>
      </c>
      <c r="F4" s="4" t="inlineStr">
        <is>
          <t>NECOS 701U003 D 4010102</t>
        </is>
      </c>
      <c r="G4" s="4" t="inlineStr">
        <is>
          <t>USD/배럴</t>
        </is>
      </c>
      <c r="H4" s="4" t="inlineStr">
        <is>
          <t>일별 → 월평균</t>
        </is>
      </c>
      <c r="I4" s="4" t="inlineStr">
        <is>
          <t>100×ln</t>
        </is>
      </c>
    </row>
    <row r="5">
      <c r="A5" s="4" t="inlineStr">
        <is>
          <t>us2y</t>
        </is>
      </c>
      <c r="B5" s="4" t="inlineStr">
        <is>
          <t>VAR</t>
        </is>
      </c>
      <c r="C5" s="4" t="inlineStr">
        <is>
          <t>글로벌</t>
        </is>
      </c>
      <c r="D5" s="4" t="inlineStr">
        <is>
          <t>미 국채 2년 (CMT)</t>
        </is>
      </c>
      <c r="E5" s="4" t="inlineStr">
        <is>
          <t>0929_data.xlsx</t>
        </is>
      </c>
      <c r="F5" s="4" t="inlineStr">
        <is>
          <t>FRED GS2</t>
        </is>
      </c>
      <c r="G5" s="4" t="inlineStr">
        <is>
          <t>%</t>
        </is>
      </c>
      <c r="H5" s="4" t="inlineStr">
        <is>
          <t>월</t>
        </is>
      </c>
      <c r="I5" s="4" t="inlineStr">
        <is>
          <t>수준</t>
        </is>
      </c>
    </row>
    <row r="6">
      <c r="A6" s="4" t="inlineStr">
        <is>
          <t>ebp</t>
        </is>
      </c>
      <c r="B6" s="4" t="inlineStr">
        <is>
          <t>VAR</t>
        </is>
      </c>
      <c r="C6" s="4" t="inlineStr">
        <is>
          <t>글로벌</t>
        </is>
      </c>
      <c r="D6" s="4" t="inlineStr">
        <is>
          <t>GZ excess bond premium</t>
        </is>
      </c>
      <c r="E6" s="4" t="inlineStr">
        <is>
          <t>ebp_csv.csv</t>
        </is>
      </c>
      <c r="F6" s="4" t="inlineStr">
        <is>
          <t>Fed FEDS Notes ebp</t>
        </is>
      </c>
      <c r="G6" s="4" t="inlineStr">
        <is>
          <t>%p</t>
        </is>
      </c>
      <c r="H6" s="4" t="inlineStr">
        <is>
          <t>월</t>
        </is>
      </c>
      <c r="I6" s="4" t="inlineStr">
        <is>
          <t>수준</t>
        </is>
      </c>
    </row>
    <row r="7">
      <c r="A7" s="4" t="inlineStr">
        <is>
          <t>lvix</t>
        </is>
      </c>
      <c r="B7" s="4" t="inlineStr">
        <is>
          <t>VAR</t>
        </is>
      </c>
      <c r="C7" s="4" t="inlineStr">
        <is>
          <t>글로벌</t>
        </is>
      </c>
      <c r="D7" s="4" t="inlineStr">
        <is>
          <t>VIX</t>
        </is>
      </c>
      <c r="E7" s="4" t="inlineStr">
        <is>
          <t>0929_data.xlsx</t>
        </is>
      </c>
      <c r="F7" s="4" t="inlineStr">
        <is>
          <t>BBG VIX Index</t>
        </is>
      </c>
      <c r="G7" s="4" t="inlineStr">
        <is>
          <t>지수</t>
        </is>
      </c>
      <c r="H7" s="4" t="inlineStr">
        <is>
          <t>일별 → 월평균</t>
        </is>
      </c>
      <c r="I7" s="4" t="inlineStr">
        <is>
          <t>100×ln</t>
        </is>
      </c>
    </row>
    <row r="8">
      <c r="A8" s="4" t="inlineStr">
        <is>
          <t>lusepu</t>
        </is>
      </c>
      <c r="B8" s="4" t="inlineStr">
        <is>
          <t>VAR</t>
        </is>
      </c>
      <c r="C8" s="4" t="inlineStr">
        <is>
          <t>글로벌</t>
        </is>
      </c>
      <c r="D8" s="4" t="inlineStr">
        <is>
          <t>미국 EPU (News)</t>
        </is>
      </c>
      <c r="E8" s="4" t="inlineStr">
        <is>
          <t>US_Policy_Uncertainty_Data.xlsx</t>
        </is>
      </c>
      <c r="F8" s="4" t="inlineStr">
        <is>
          <t>Main News Index</t>
        </is>
      </c>
      <c r="G8" s="4" t="inlineStr">
        <is>
          <t>지수</t>
        </is>
      </c>
      <c r="H8" s="4" t="inlineStr">
        <is>
          <t>월</t>
        </is>
      </c>
      <c r="I8" s="4" t="inlineStr">
        <is>
          <t>100×ln</t>
        </is>
      </c>
    </row>
    <row r="9">
      <c r="A9" s="4" t="inlineStr">
        <is>
          <t>lip</t>
        </is>
      </c>
      <c r="B9" s="4" t="inlineStr">
        <is>
          <t>VAR</t>
        </is>
      </c>
      <c r="C9" s="4" t="inlineStr">
        <is>
          <t>한국</t>
        </is>
      </c>
      <c r="D9" s="4" t="inlineStr">
        <is>
          <t>전산업생산지수 (농림어업 제외, SA)</t>
        </is>
      </c>
      <c r="E9" s="4" t="inlineStr">
        <is>
          <t>0929_data.xlsx</t>
        </is>
      </c>
      <c r="F9" s="4" t="inlineStr">
        <is>
          <t>NECOS 901U033 M A00-2</t>
        </is>
      </c>
      <c r="G9" s="4" t="inlineStr">
        <is>
          <t>2020=100</t>
        </is>
      </c>
      <c r="H9" s="4" t="inlineStr">
        <is>
          <t>월</t>
        </is>
      </c>
      <c r="I9" s="4" t="inlineStr">
        <is>
          <t>100×ln</t>
        </is>
      </c>
    </row>
    <row r="10">
      <c r="A10" s="4" t="inlineStr">
        <is>
          <t>lcpi</t>
        </is>
      </c>
      <c r="B10" s="4" t="inlineStr">
        <is>
          <t>VAR</t>
        </is>
      </c>
      <c r="C10" s="4" t="inlineStr">
        <is>
          <t>한국</t>
        </is>
      </c>
      <c r="D10" s="4" t="inlineStr">
        <is>
          <t>소비자물가지수 총지수</t>
        </is>
      </c>
      <c r="E10" s="4" t="inlineStr">
        <is>
          <t>0929_data.xlsx</t>
        </is>
      </c>
      <c r="F10" s="4" t="inlineStr">
        <is>
          <t>NECOS 901U009 M 0</t>
        </is>
      </c>
      <c r="G10" s="4" t="inlineStr">
        <is>
          <t>2020=100</t>
        </is>
      </c>
      <c r="H10" s="4" t="inlineStr">
        <is>
          <t>월</t>
        </is>
      </c>
      <c r="I10" s="4" t="inlineStr">
        <is>
          <t>100×ln</t>
        </is>
      </c>
    </row>
    <row r="11">
      <c r="A11" s="4" t="inlineStr">
        <is>
          <t>kr_call</t>
        </is>
      </c>
      <c r="B11" s="4" t="inlineStr">
        <is>
          <t>VAR</t>
        </is>
      </c>
      <c r="C11" s="4" t="inlineStr">
        <is>
          <t>한국</t>
        </is>
      </c>
      <c r="D11" s="4" t="inlineStr">
        <is>
          <t>콜금리 1일 전체거래</t>
        </is>
      </c>
      <c r="E11" s="4" t="inlineStr">
        <is>
          <t>call.xlsx</t>
        </is>
      </c>
      <c r="F11" s="4" t="inlineStr">
        <is>
          <t>NECOS 817U002 D 010101000</t>
        </is>
      </c>
      <c r="G11" s="4" t="inlineStr">
        <is>
          <t>%</t>
        </is>
      </c>
      <c r="H11" s="4" t="inlineStr">
        <is>
          <t>일별 → 월평균</t>
        </is>
      </c>
      <c r="I11" s="4" t="inlineStr">
        <is>
          <t>수준</t>
        </is>
      </c>
    </row>
    <row r="12">
      <c r="A12" s="4" t="inlineStr">
        <is>
          <t>spread</t>
        </is>
      </c>
      <c r="B12" s="4" t="inlineStr">
        <is>
          <t>VAR</t>
        </is>
      </c>
      <c r="C12" s="4" t="inlineStr">
        <is>
          <t>한국</t>
        </is>
      </c>
      <c r="D12" s="4" t="inlineStr">
        <is>
          <t>회사채 AA- 3년 − 국고 3년</t>
        </is>
      </c>
      <c r="E12" s="4" t="inlineStr">
        <is>
          <t>SPREAD_LONG.xlsx</t>
        </is>
      </c>
      <c r="F12" s="4" t="inlineStr">
        <is>
          <t>ECOS 721Y001 7020000 − 5020000</t>
        </is>
      </c>
      <c r="G12" s="4" t="inlineStr">
        <is>
          <t>%p</t>
        </is>
      </c>
      <c r="H12" s="4" t="inlineStr">
        <is>
          <t>월</t>
        </is>
      </c>
      <c r="I12" s="4" t="inlineStr">
        <is>
          <t>수준</t>
        </is>
      </c>
    </row>
    <row r="13">
      <c r="A13" s="4" t="inlineStr">
        <is>
          <t>lfx</t>
        </is>
      </c>
      <c r="B13" s="4" t="inlineStr">
        <is>
          <t>VAR</t>
        </is>
      </c>
      <c r="C13" s="4" t="inlineStr">
        <is>
          <t>한국</t>
        </is>
      </c>
      <c r="D13" s="4" t="inlineStr">
        <is>
          <t>원/달러 종가 15:30</t>
        </is>
      </c>
      <c r="E13" s="4" t="inlineStr">
        <is>
          <t>0929_data.xlsx</t>
        </is>
      </c>
      <c r="F13" s="4" t="inlineStr">
        <is>
          <t>NECOS 731U003 D 0000003</t>
        </is>
      </c>
      <c r="G13" s="4" t="inlineStr">
        <is>
          <t>원</t>
        </is>
      </c>
      <c r="H13" s="4" t="inlineStr">
        <is>
          <t>일별 → 월평균</t>
        </is>
      </c>
      <c r="I13" s="4" t="inlineStr">
        <is>
          <t>100×ln</t>
        </is>
      </c>
    </row>
    <row r="14">
      <c r="A14" s="4" t="inlineStr">
        <is>
          <t>lkrepu</t>
        </is>
      </c>
      <c r="B14" s="4" t="inlineStr">
        <is>
          <t>VAR</t>
        </is>
      </c>
      <c r="C14" s="4" t="inlineStr">
        <is>
          <t>한국</t>
        </is>
      </c>
      <c r="D14" s="4" t="inlineStr">
        <is>
          <t>한국 EPU (Baker-Bloom-Davis)</t>
        </is>
      </c>
      <c r="E14" s="4" t="inlineStr">
        <is>
          <t>Korea_Policy_Uncertainty_Data.xlsx (원본 .xls를 변환)</t>
        </is>
      </c>
      <c r="F14" s="4" t="inlineStr">
        <is>
          <t>SK EPU Index Entire Period</t>
        </is>
      </c>
      <c r="G14" s="4" t="inlineStr">
        <is>
          <t>지수</t>
        </is>
      </c>
      <c r="H14" s="4" t="inlineStr">
        <is>
          <t>월</t>
        </is>
      </c>
      <c r="I14" s="4" t="inlineStr">
        <is>
          <t>100×ln</t>
        </is>
      </c>
    </row>
    <row r="15">
      <c r="A15" s="4" t="inlineStr">
        <is>
          <t>d2020m3–d2020m6</t>
        </is>
      </c>
      <c r="B15" s="4" t="inlineStr">
        <is>
          <t>VAR</t>
        </is>
      </c>
      <c r="C15" s="4" t="inlineStr">
        <is>
          <t>더미</t>
        </is>
      </c>
      <c r="D15" s="4" t="inlineStr">
        <is>
          <t>COVID 월 더미 (두 블록 모든 식)</t>
        </is>
      </c>
      <c r="E15" s="4" t="inlineStr">
        <is>
          <t>—</t>
        </is>
      </c>
      <c r="F15" s="4" t="inlineStr">
        <is>
          <t>—</t>
        </is>
      </c>
      <c r="G15" s="4" t="inlineStr">
        <is>
          <t>0/1</t>
        </is>
      </c>
      <c r="H15" s="4" t="inlineStr">
        <is>
          <t>—</t>
        </is>
      </c>
      <c r="I15" s="4" t="inlineStr">
        <is>
          <t>—</t>
        </is>
      </c>
    </row>
    <row r="16">
      <c r="A16" s="4" t="inlineStr">
        <is>
          <t>cds5</t>
        </is>
      </c>
      <c r="B16" s="4" t="inlineStr">
        <is>
          <t>EXTRA</t>
        </is>
      </c>
      <c r="C16" s="4" t="inlineStr">
        <is>
          <t>외부변수</t>
        </is>
      </c>
      <c r="D16" s="4" t="inlineStr">
        <is>
          <t>한국 CDS 5년 (USD, SR, D14)</t>
        </is>
      </c>
      <c r="E16" s="4" t="inlineStr">
        <is>
          <t>0929_data.xlsx</t>
        </is>
      </c>
      <c r="F16" s="4" t="inlineStr">
        <is>
          <t>BBG KOREA CDS USD SR 5Y D14 Corp (R2)</t>
        </is>
      </c>
      <c r="G16" s="4" t="inlineStr">
        <is>
          <t>bp</t>
        </is>
      </c>
      <c r="H16" s="4" t="inlineStr">
        <is>
          <t>일별 → 월평균, 관측 0건 월은 선형보간</t>
        </is>
      </c>
      <c r="I16" s="4" t="inlineStr">
        <is>
          <t>—</t>
        </is>
      </c>
    </row>
    <row r="17">
      <c r="A17" s="4" t="inlineStr">
        <is>
          <t>cds5_nobs</t>
        </is>
      </c>
      <c r="B17" s="4" t="inlineStr">
        <is>
          <t>EXTRA</t>
        </is>
      </c>
      <c r="C17" s="4" t="inlineStr">
        <is>
          <t>외부변수</t>
        </is>
      </c>
      <c r="D17" s="4" t="inlineStr">
        <is>
          <t>CDS 월별 관측일수 (5 미만이면 주의)</t>
        </is>
      </c>
      <c r="E17" s="4" t="inlineStr">
        <is>
          <t>0929_data.xlsx</t>
        </is>
      </c>
      <c r="F17" s="4" t="inlineStr">
        <is>
          <t>—</t>
        </is>
      </c>
      <c r="G17" s="4" t="inlineStr">
        <is>
          <t>일</t>
        </is>
      </c>
      <c r="H17" s="4" t="inlineStr">
        <is>
          <t>—</t>
        </is>
      </c>
      <c r="I17" s="4" t="inlineStr">
        <is>
          <t>—</t>
        </is>
      </c>
    </row>
    <row r="18">
      <c r="A18" s="4" t="inlineStr">
        <is>
          <t>fx_eop</t>
        </is>
      </c>
      <c r="B18" s="4" t="inlineStr">
        <is>
          <t>EXTRA</t>
        </is>
      </c>
      <c r="C18" s="4" t="inlineStr">
        <is>
          <t>강건성</t>
        </is>
      </c>
      <c r="D18" s="4" t="inlineStr">
        <is>
          <t>원/달러 종가 15:30 월말</t>
        </is>
      </c>
      <c r="E18" s="4" t="inlineStr">
        <is>
          <t>0929_data.xlsx</t>
        </is>
      </c>
      <c r="F18" s="4" t="inlineStr">
        <is>
          <t>NECOS 731U003 D 0000003</t>
        </is>
      </c>
      <c r="G18" s="4" t="inlineStr">
        <is>
          <t>원</t>
        </is>
      </c>
      <c r="H18" s="4" t="inlineStr">
        <is>
          <t>일별 → 월말</t>
        </is>
      </c>
      <c r="I18" s="4" t="inlineStr">
        <is>
          <t>—</t>
        </is>
      </c>
    </row>
    <row r="19">
      <c r="A19" s="4" t="inlineStr">
        <is>
          <t>brent</t>
        </is>
      </c>
      <c r="B19" s="4" t="inlineStr">
        <is>
          <t>EXTRA</t>
        </is>
      </c>
      <c r="C19" s="4" t="inlineStr">
        <is>
          <t>강건성</t>
        </is>
      </c>
      <c r="D19" s="4" t="inlineStr">
        <is>
          <t>브렌트유</t>
        </is>
      </c>
      <c r="E19" s="4" t="inlineStr">
        <is>
          <t>MACRO.xlsx</t>
        </is>
      </c>
      <c r="F19" s="4" t="inlineStr">
        <is>
          <t>FRED DCOILBRENTEU</t>
        </is>
      </c>
      <c r="G19" s="4" t="inlineStr">
        <is>
          <t>USD/배럴</t>
        </is>
      </c>
      <c r="H19" s="4" t="inlineStr">
        <is>
          <t>일별 → 월평균</t>
        </is>
      </c>
      <c r="I19" s="4" t="inlineStr">
        <is>
          <t>—</t>
        </is>
      </c>
    </row>
    <row r="20">
      <c r="A20" s="4" t="inlineStr">
        <is>
          <t>chn_imp</t>
        </is>
      </c>
      <c r="B20" s="4" t="inlineStr">
        <is>
          <t>EXTRA</t>
        </is>
      </c>
      <c r="C20" s="4" t="inlineStr">
        <is>
          <t>강건성</t>
        </is>
      </c>
      <c r="D20" s="4" t="inlineStr">
        <is>
          <t>중국 수입물량 (SA)</t>
        </is>
      </c>
      <c r="E20" s="4" t="inlineStr">
        <is>
          <t>CPB-world-trade-monitor-july-2026.xlsx</t>
        </is>
      </c>
      <c r="F20" s="4" t="inlineStr">
        <is>
          <t>mgz_cn_qnmi_sn</t>
        </is>
      </c>
      <c r="G20" s="4" t="inlineStr">
        <is>
          <t>2021=100</t>
        </is>
      </c>
      <c r="H20" s="4" t="inlineStr">
        <is>
          <t>월</t>
        </is>
      </c>
      <c r="I20" s="4" t="inlineStr">
        <is>
          <t>—</t>
        </is>
      </c>
    </row>
    <row r="21">
      <c r="A21" s="4" t="inlineStr">
        <is>
          <t>vkospi</t>
        </is>
      </c>
      <c r="B21" s="4" t="inlineStr">
        <is>
          <t>EXTRA</t>
        </is>
      </c>
      <c r="C21" s="4" t="inlineStr">
        <is>
          <t>강건성</t>
        </is>
      </c>
      <c r="D21" s="4" t="inlineStr">
        <is>
          <t>VKOSPI200</t>
        </is>
      </c>
      <c r="E21" s="4" t="inlineStr">
        <is>
          <t>VKOSPI200_F.xlsx</t>
        </is>
      </c>
      <c r="F21" s="4" t="inlineStr">
        <is>
          <t>KRX 코스피200 변동성지수</t>
        </is>
      </c>
      <c r="G21" s="4" t="inlineStr">
        <is>
          <t>지수</t>
        </is>
      </c>
      <c r="H21" s="4" t="inlineStr">
        <is>
          <t>일별 → 월평균</t>
        </is>
      </c>
      <c r="I21" s="4" t="inlineStr">
        <is>
          <t>—</t>
        </is>
      </c>
    </row>
    <row r="22">
      <c r="A22" s="4" t="inlineStr">
        <is>
          <t>k200_eop</t>
        </is>
      </c>
      <c r="B22" s="4" t="inlineStr">
        <is>
          <t>EXTRA</t>
        </is>
      </c>
      <c r="C22" s="4" t="inlineStr">
        <is>
          <t>외부변수</t>
        </is>
      </c>
      <c r="D22" s="4" t="inlineStr">
        <is>
          <t>KOSPI200 월말</t>
        </is>
      </c>
      <c r="E22" s="4" t="inlineStr">
        <is>
          <t>KOSPI200_DAILY.dta</t>
        </is>
      </c>
      <c r="F22" s="4" t="inlineStr">
        <is>
          <t>KRX KOSPI200</t>
        </is>
      </c>
      <c r="G22" s="4" t="inlineStr">
        <is>
          <t>지수</t>
        </is>
      </c>
      <c r="H22" s="4" t="inlineStr">
        <is>
          <t>일별 → 월말</t>
        </is>
      </c>
      <c r="I22" s="4" t="inlineStr">
        <is>
          <t>—</t>
        </is>
      </c>
    </row>
    <row r="23">
      <c r="A23" s="4" t="inlineStr">
        <is>
          <t>mfg</t>
        </is>
      </c>
      <c r="B23" s="4" t="inlineStr">
        <is>
          <t>EXTRA</t>
        </is>
      </c>
      <c r="C23" s="4" t="inlineStr">
        <is>
          <t>강건성</t>
        </is>
      </c>
      <c r="D23" s="4" t="inlineStr">
        <is>
          <t>광공업생산지수 (SA)</t>
        </is>
      </c>
      <c r="E23" s="4" t="inlineStr">
        <is>
          <t>MACRO.xlsx</t>
        </is>
      </c>
      <c r="F23" s="4" t="inlineStr">
        <is>
          <t>ECOS 901Y033 AB00-2</t>
        </is>
      </c>
      <c r="G23" s="4" t="inlineStr">
        <is>
          <t>2020=100</t>
        </is>
      </c>
      <c r="H23" s="4" t="inlineStr">
        <is>
          <t>월</t>
        </is>
      </c>
      <c r="I23" s="4" t="inlineStr">
        <is>
          <t>—</t>
        </is>
      </c>
    </row>
    <row r="24">
      <c r="A24" s="4" t="inlineStr">
        <is>
          <t>retail</t>
        </is>
      </c>
      <c r="B24" s="4" t="inlineStr">
        <is>
          <t>EXTRA</t>
        </is>
      </c>
      <c r="C24" s="4" t="inlineStr">
        <is>
          <t>2단계</t>
        </is>
      </c>
      <c r="D24" s="4" t="inlineStr">
        <is>
          <t>소매판매액지수 (SA)</t>
        </is>
      </c>
      <c r="E24" s="4" t="inlineStr">
        <is>
          <t>MACRO.xlsx</t>
        </is>
      </c>
      <c r="F24" s="4" t="inlineStr">
        <is>
          <t>ECOS 901Y100 G0 T3</t>
        </is>
      </c>
      <c r="G24" s="4" t="inlineStr">
        <is>
          <t>지수</t>
        </is>
      </c>
      <c r="H24" s="4" t="inlineStr">
        <is>
          <t>월</t>
        </is>
      </c>
      <c r="I24" s="4" t="inlineStr">
        <is>
          <t>—</t>
        </is>
      </c>
    </row>
    <row r="25">
      <c r="A25" s="4" t="inlineStr">
        <is>
          <t>equip</t>
        </is>
      </c>
      <c r="B25" s="4" t="inlineStr">
        <is>
          <t>EXTRA</t>
        </is>
      </c>
      <c r="C25" s="4" t="inlineStr">
        <is>
          <t>2단계</t>
        </is>
      </c>
      <c r="D25" s="4" t="inlineStr">
        <is>
          <t>설비투자지수 (SA)</t>
        </is>
      </c>
      <c r="E25" s="4" t="inlineStr">
        <is>
          <t>MACRO.xlsx</t>
        </is>
      </c>
      <c r="F25" s="4" t="inlineStr">
        <is>
          <t>ECOS 901Y066 I15B</t>
        </is>
      </c>
      <c r="G25" s="4" t="inlineStr">
        <is>
          <t>지수</t>
        </is>
      </c>
      <c r="H25" s="4" t="inlineStr">
        <is>
          <t>월</t>
        </is>
      </c>
      <c r="I25" s="4" t="inlineStr">
        <is>
          <t>—</t>
        </is>
      </c>
    </row>
    <row r="26">
      <c r="A26" s="4" t="inlineStr">
        <is>
          <t>us_ffr</t>
        </is>
      </c>
      <c r="B26" s="4" t="inlineStr">
        <is>
          <t>EXTRA</t>
        </is>
      </c>
      <c r="C26" s="4" t="inlineStr">
        <is>
          <t>참고</t>
        </is>
      </c>
      <c r="D26" s="4" t="inlineStr">
        <is>
          <t>미 연방기금금리</t>
        </is>
      </c>
      <c r="E26" s="4" t="inlineStr">
        <is>
          <t>MACRO.xlsx</t>
        </is>
      </c>
      <c r="F26" s="4" t="inlineStr">
        <is>
          <t>FRED FEDFUNDS</t>
        </is>
      </c>
      <c r="G26" s="4" t="inlineStr">
        <is>
          <t>%</t>
        </is>
      </c>
      <c r="H26" s="4" t="inlineStr">
        <is>
          <t>월</t>
        </is>
      </c>
      <c r="I26" s="4" t="inlineStr">
        <is>
          <t>—</t>
        </is>
      </c>
    </row>
    <row r="28">
      <c r="A28" s="8" t="inlineStr">
        <is>
          <t>비고</t>
        </is>
      </c>
    </row>
    <row r="29">
      <c r="A29" s="4" t="inlineStr">
        <is>
          <t>표본 2000M1–2025M12 (312개월). 시작은 전산업생산, 끝은 KR EPU가 결정.</t>
        </is>
      </c>
    </row>
    <row r="30">
      <c r="A30" s="4" t="inlineStr">
        <is>
          <t>VAR 시트는 LEVEL 시트를 참조하는 수식. 파란 헤더 = 글로벌 블록·더미, 회색 헤더 = 한국 블록.</t>
        </is>
      </c>
    </row>
    <row r="31">
      <c r="A31" s="4" t="inlineStr">
        <is>
          <t>변수 순서는 블록 순서(글로벌 → 한국)만 의미가 있다. 블록 안 순서는 식별에 영향 없음.</t>
        </is>
      </c>
    </row>
    <row r="32">
      <c r="A32" s="4" t="inlineStr">
        <is>
          <t>spread는 기존 폴더 파일(SPREAD_LONG.xlsx, 2025M12까지). 사내 시스템에서 재추출하면 교체.</t>
        </is>
      </c>
    </row>
    <row r="33">
      <c r="A33" s="4" t="inlineStr">
        <is>
          <t>kr_call은 일별 단순평균. ECOS 월 통계(721Y001)와 차이 최대 0.08%p (2000–2025).</t>
        </is>
      </c>
    </row>
    <row r="34">
      <c r="A34" s="4" t="inlineStr">
        <is>
          <t>Stata: import excel using DATA.xlsx, sheet(VAR) firstrow clear → gen mdate = monthly(ym, "YM") → tsset mdate, monthly</t>
        </is>
      </c>
    </row>
    <row r="35">
      <c r="A35" s="4" t="inlineStr">
        <is>
          <t>생성: build_DATA.py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2026-09-29T04:22:23Z</dcterms:created>
  <dcterms:modified xmlns:dcterms="http://purl.org/dc/terms/" xmlns:xsi="http://www.w3.org/2001/XMLSchema-instance" xsi:type="dcterms:W3CDTF">2026-09-29T04:22:23Z</dcterms:modified>
</cp:coreProperties>
</file>